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 &amp; Referensi" sheetId="1" r:id="rId5"/>
    <sheet state="visible" name="List Komponen" sheetId="2" r:id="rId6"/>
    <sheet state="visible" name="Stock Akhir" sheetId="3" r:id="rId7"/>
    <sheet state="visible" name="Penerimaan Barang" sheetId="4" r:id="rId8"/>
    <sheet state="visible" name="Form Produksi Modul" sheetId="5" r:id="rId9"/>
    <sheet state="visible" name="Form QC Modul" sheetId="6" r:id="rId10"/>
    <sheet state="visible" name="Form Pengiriman Sekolah" sheetId="7" r:id="rId11"/>
    <sheet state="visible" name="Form Pengembalian" sheetId="8" r:id="rId12"/>
    <sheet state="visible" name="Form Repair" sheetId="9" r:id="rId13"/>
    <sheet state="visible" name="Stock Opname" sheetId="10" r:id="rId14"/>
  </sheets>
  <definedNames/>
  <calcPr/>
</workbook>
</file>

<file path=xl/sharedStrings.xml><?xml version="1.0" encoding="utf-8"?>
<sst xmlns="http://schemas.openxmlformats.org/spreadsheetml/2006/main" count="544" uniqueCount="291">
  <si>
    <t>LEGENDA &amp; REFERENSI PENULISAN</t>
  </si>
  <si>
    <t>FORM PENERIMAAN BARANG</t>
  </si>
  <si>
    <t>STOCK AKHIR — OTOMATIS DARI SEMUA FORM TRANSAKSI</t>
  </si>
  <si>
    <t>MICROBIT LEARNING KIT</t>
  </si>
  <si>
    <t>Sumber tunggal untuk semua dropdown &amp; lookup otomatis di seluruh form. JANGAN diubah urutannya.</t>
  </si>
  <si>
    <t>Kuning = isi tangan. Biru = otomatis (jangan diubah, formula sudah terpasang).</t>
  </si>
  <si>
    <t>Diisi oleh: Staf Gudang Utama</t>
  </si>
  <si>
    <t>A. KODE BARANG (Level 1 — Gudang Utama)</t>
  </si>
  <si>
    <t>No</t>
  </si>
  <si>
    <t>Semua kolom di sheet ini adalah FORMULA. Jangan ketik manual di sini — cukup isi form transaksi, angka di sini akan mengikuti sendiri.</t>
  </si>
  <si>
    <t>Tanggal</t>
  </si>
  <si>
    <t>No. PO (jika ada)</t>
  </si>
  <si>
    <t>Box / Kategori</t>
  </si>
  <si>
    <t>Kode Barang</t>
  </si>
  <si>
    <t>Modul</t>
  </si>
  <si>
    <t>Nama Barang</t>
  </si>
  <si>
    <t>Nama Komponen</t>
  </si>
  <si>
    <t>Jumlah</t>
  </si>
  <si>
    <t>Qty Diterima</t>
  </si>
  <si>
    <t>Satuan</t>
  </si>
  <si>
    <t>Catatan</t>
  </si>
  <si>
    <t>Kondisi Saat Diterima</t>
  </si>
  <si>
    <t>Kategori</t>
  </si>
  <si>
    <t>Diterima Oleh</t>
  </si>
  <si>
    <t>Total Diterima</t>
  </si>
  <si>
    <t>Dipakai di Produksi</t>
  </si>
  <si>
    <t>Kembali dari Repair (Berhasil)</t>
  </si>
  <si>
    <t>BOX 1 – Beginner Kit</t>
  </si>
  <si>
    <t>Disposed (Repair Gagal)</t>
  </si>
  <si>
    <t>Stock Gudang Utama (READY)</t>
  </si>
  <si>
    <t>Sedang Diproses (Modul/Box/Sekolah/Repair)</t>
  </si>
  <si>
    <t>M01 - Controller Kit</t>
  </si>
  <si>
    <t>Total Barang Aktif di Sistem</t>
  </si>
  <si>
    <t>Micro:bit V2</t>
  </si>
  <si>
    <t>Pcs</t>
  </si>
  <si>
    <t>Rusak Menunggu Repair</t>
  </si>
  <si>
    <t>CT-001</t>
  </si>
  <si>
    <t>Kabel Micro USB</t>
  </si>
  <si>
    <t>Controller</t>
  </si>
  <si>
    <t>pcs</t>
  </si>
  <si>
    <t>CT-002</t>
  </si>
  <si>
    <t>Kabel Micro USB to Type C</t>
  </si>
  <si>
    <t>CT-003</t>
  </si>
  <si>
    <t>Micro USB Cable Data Kabel</t>
  </si>
  <si>
    <t>Kabel Micro Type-C</t>
  </si>
  <si>
    <t>OP-001</t>
  </si>
  <si>
    <t>LED Merah</t>
  </si>
  <si>
    <t>Output Device</t>
  </si>
  <si>
    <t>OP-002</t>
  </si>
  <si>
    <t>LED Kuning</t>
  </si>
  <si>
    <t>M02 - LED Kit</t>
  </si>
  <si>
    <t>CN-007</t>
  </si>
  <si>
    <t>OP-003</t>
  </si>
  <si>
    <t>LED Hijau</t>
  </si>
  <si>
    <t>SN-001</t>
  </si>
  <si>
    <t>Sensor Ultrasonik HC-SR04</t>
  </si>
  <si>
    <t>Sensor</t>
  </si>
  <si>
    <t>MT-001</t>
  </si>
  <si>
    <t>Servo SG90 180°</t>
  </si>
  <si>
    <t>Motion</t>
  </si>
  <si>
    <t>MT-002</t>
  </si>
  <si>
    <t>Servo SG90 360°</t>
  </si>
  <si>
    <t>MT-003</t>
  </si>
  <si>
    <t>Servo MG996R</t>
  </si>
  <si>
    <t>Resistor</t>
  </si>
  <si>
    <t>M07 - Connection Kit</t>
  </si>
  <si>
    <t>Breadboard Mini (170 TP)</t>
  </si>
  <si>
    <t>PW-001</t>
  </si>
  <si>
    <t>Baterai AAA</t>
  </si>
  <si>
    <t>Power</t>
  </si>
  <si>
    <t>PW-002</t>
  </si>
  <si>
    <t>Blok Konektor</t>
  </si>
  <si>
    <t>Battery Holder 4xAAA</t>
  </si>
  <si>
    <t>CN-001</t>
  </si>
  <si>
    <t>Connection</t>
  </si>
  <si>
    <t>CN-002</t>
  </si>
  <si>
    <t>Kabel Jumper Male to Male</t>
  </si>
  <si>
    <t>Kabel Alligator</t>
  </si>
  <si>
    <t>CN-003</t>
  </si>
  <si>
    <t>Kabel Jumper Female to Female</t>
  </si>
  <si>
    <t>CN-004</t>
  </si>
  <si>
    <t>Kabel Jumper Male to Female</t>
  </si>
  <si>
    <t>CN-005</t>
  </si>
  <si>
    <t>Kabel Aligator</t>
  </si>
  <si>
    <t>CN-006</t>
  </si>
  <si>
    <t>Resistor 100 Ohm</t>
  </si>
  <si>
    <t>Blok Konektor (CH-2 Push Connector)</t>
  </si>
  <si>
    <t>MC-001</t>
  </si>
  <si>
    <t>Brick</t>
  </si>
  <si>
    <t>Mechanical</t>
  </si>
  <si>
    <t>MC-002</t>
  </si>
  <si>
    <t>Brick Papan</t>
  </si>
  <si>
    <t>MC-003</t>
  </si>
  <si>
    <t>Brick Separator</t>
  </si>
  <si>
    <t>MC-004</t>
  </si>
  <si>
    <t>Lego</t>
  </si>
  <si>
    <t>BOX 2 – Supporting Equipment</t>
  </si>
  <si>
    <t>M03 - Motion Kit</t>
  </si>
  <si>
    <t>set</t>
  </si>
  <si>
    <t>Servo 180°</t>
  </si>
  <si>
    <t>MC-005</t>
  </si>
  <si>
    <t>Base Plate Lego</t>
  </si>
  <si>
    <t>CS-001</t>
  </si>
  <si>
    <t>Karton / Kertas Karton</t>
  </si>
  <si>
    <t>Consumable</t>
  </si>
  <si>
    <t>Servo 360°</t>
  </si>
  <si>
    <t>lembar</t>
  </si>
  <si>
    <t>CS-002</t>
  </si>
  <si>
    <t>Kardus</t>
  </si>
  <si>
    <t>CS-003</t>
  </si>
  <si>
    <t>Lakban</t>
  </si>
  <si>
    <t>roll</t>
  </si>
  <si>
    <t>CS-004</t>
  </si>
  <si>
    <t>Double Tape</t>
  </si>
  <si>
    <t>CS-005</t>
  </si>
  <si>
    <t>Stik Es Krim</t>
  </si>
  <si>
    <t>CS-006</t>
  </si>
  <si>
    <t>Spidol</t>
  </si>
  <si>
    <t>M04 - Sensor Kit</t>
  </si>
  <si>
    <t>Sensor Ultrasonik</t>
  </si>
  <si>
    <t>CS-007</t>
  </si>
  <si>
    <t>Kertas Warna</t>
  </si>
  <si>
    <t>TL-001</t>
  </si>
  <si>
    <t>Gunting</t>
  </si>
  <si>
    <t>Tools</t>
  </si>
  <si>
    <t>M05 - Power Kit</t>
  </si>
  <si>
    <t>Battery Holder</t>
  </si>
  <si>
    <t>TL-002</t>
  </si>
  <si>
    <t>Cutter</t>
  </si>
  <si>
    <t>TL-003</t>
  </si>
  <si>
    <t>Penggaris / Meteran</t>
  </si>
  <si>
    <t>TL-004</t>
  </si>
  <si>
    <t>Lem Tembak</t>
  </si>
  <si>
    <t>PC-001</t>
  </si>
  <si>
    <t>Box Packaging</t>
  </si>
  <si>
    <t>BOX 3 – Bricks</t>
  </si>
  <si>
    <t>Packaging</t>
  </si>
  <si>
    <t>M06 - Mechanical Kit</t>
  </si>
  <si>
    <t>Lego (150 gr)</t>
  </si>
  <si>
    <t>Paket</t>
  </si>
  <si>
    <t>Separator</t>
  </si>
  <si>
    <t>PC-002</t>
  </si>
  <si>
    <t>Box Beginner Micro</t>
  </si>
  <si>
    <t>Papan Lego / Base Plate</t>
  </si>
  <si>
    <t>PC-003</t>
  </si>
  <si>
    <t>Box Supporting Equipment</t>
  </si>
  <si>
    <t>PC-004</t>
  </si>
  <si>
    <t>Box Wires</t>
  </si>
  <si>
    <t>Total Item</t>
  </si>
  <si>
    <t>PC-005</t>
  </si>
  <si>
    <t>Box Bricks</t>
  </si>
  <si>
    <t>PC-006</t>
  </si>
  <si>
    <t>Lembar Panduan</t>
  </si>
  <si>
    <t>ROBOTIC EXPLORER</t>
  </si>
  <si>
    <t>B. KODE MODUL</t>
  </si>
  <si>
    <t>Kode Modul</t>
  </si>
  <si>
    <t>Nama Modul</t>
  </si>
  <si>
    <t>M01</t>
  </si>
  <si>
    <t>Controller Kit</t>
  </si>
  <si>
    <t>M02</t>
  </si>
  <si>
    <t>LED Kit</t>
  </si>
  <si>
    <t>M03</t>
  </si>
  <si>
    <t>Motion Kit</t>
  </si>
  <si>
    <t>M04</t>
  </si>
  <si>
    <t>Sensor Kit</t>
  </si>
  <si>
    <t>M05</t>
  </si>
  <si>
    <t>Power Kit</t>
  </si>
  <si>
    <t>M06</t>
  </si>
  <si>
    <t>Mechanical Kit</t>
  </si>
  <si>
    <t>M07</t>
  </si>
  <si>
    <t>Connection Kit</t>
  </si>
  <si>
    <t>M08</t>
  </si>
  <si>
    <t>Jimu Trackbot</t>
  </si>
  <si>
    <t>M09</t>
  </si>
  <si>
    <t>Erboblox</t>
  </si>
  <si>
    <t>M10</t>
  </si>
  <si>
    <t>Sub-Assembly/Third-Party Kit</t>
  </si>
  <si>
    <t>M11</t>
  </si>
  <si>
    <t>M12</t>
  </si>
  <si>
    <t>M13</t>
  </si>
  <si>
    <t>C. KODE PROGRAM</t>
  </si>
  <si>
    <t>Kode Program</t>
  </si>
  <si>
    <t>Nama Program</t>
  </si>
  <si>
    <t>MB-BEG</t>
  </si>
  <si>
    <t>Microbit Beginner</t>
  </si>
  <si>
    <t>MB-ADV</t>
  </si>
  <si>
    <t>Microbit Advanced</t>
  </si>
  <si>
    <t>MB-RBT</t>
  </si>
  <si>
    <t>Robotik</t>
  </si>
  <si>
    <t>D. STATUS BARANG (Life Cycle)</t>
  </si>
  <si>
    <t>Status</t>
  </si>
  <si>
    <t>Arti</t>
  </si>
  <si>
    <t>RAW</t>
  </si>
  <si>
    <t>Baru diterima dari supplier</t>
  </si>
  <si>
    <t>READY</t>
  </si>
  <si>
    <t>Siap dipakai di Gudang Utama</t>
  </si>
  <si>
    <t>IN_MODULE</t>
  </si>
  <si>
    <t>Sudah menjadi bagian modul</t>
  </si>
  <si>
    <t>IN_BOX</t>
  </si>
  <si>
    <t>Sudah dimasukkan ke Student Box</t>
  </si>
  <si>
    <t>ON_LOAN</t>
  </si>
  <si>
    <t>Sedang dipakai di sekolah</t>
  </si>
  <si>
    <t>RETURNED</t>
  </si>
  <si>
    <t>Sudah kembali dari sekolah</t>
  </si>
  <si>
    <t>REPAIR</t>
  </si>
  <si>
    <t>Sedang diperbaiki</t>
  </si>
  <si>
    <t>DAMAGED</t>
  </si>
  <si>
    <t>Rusak dan menunggu keputusan</t>
  </si>
  <si>
    <t>DISPOSED</t>
  </si>
  <si>
    <t>Dihapus dari inventaris</t>
  </si>
  <si>
    <t>E. HASIL QC / REPAIR</t>
  </si>
  <si>
    <t>Nilai</t>
  </si>
  <si>
    <t>LOLOS</t>
  </si>
  <si>
    <t>Modul lengkap dan baik, lanjut ke Box</t>
  </si>
  <si>
    <t>TIDAK LOLOS</t>
  </si>
  <si>
    <t>Ada komponen kurang/rusak, kembali ke Produksi</t>
  </si>
  <si>
    <t>F. KONDISI SAAT PENGEMBALIAN</t>
  </si>
  <si>
    <t>JM01 - Jimu</t>
  </si>
  <si>
    <t>LENGKAP</t>
  </si>
  <si>
    <t>Semua komponen ada dan baik</t>
  </si>
  <si>
    <t>RUSAK</t>
  </si>
  <si>
    <t>Ada komponen rusak</t>
  </si>
  <si>
    <t>HILANG</t>
  </si>
  <si>
    <t>Ada komponen tidak kembali</t>
  </si>
  <si>
    <t>G. HASIL REPAIR</t>
  </si>
  <si>
    <t>Finish Good</t>
  </si>
  <si>
    <t>BERHASIL</t>
  </si>
  <si>
    <t>Barang diperbaiki, kembali status READY</t>
  </si>
  <si>
    <t>GAGAL</t>
  </si>
  <si>
    <t>Tidak bisa diperbaiki, status jadi DISPOSED</t>
  </si>
  <si>
    <t>Arduino Learning Kit</t>
  </si>
  <si>
    <t>H. FORMAT PENOMORAN (contoh)</t>
  </si>
  <si>
    <t>Jenis</t>
  </si>
  <si>
    <t>Format Contoh</t>
  </si>
  <si>
    <t>Kode Box</t>
  </si>
  <si>
    <t>BOX-001, BOX-002, ...</t>
  </si>
  <si>
    <t>Asset ID Micro:bit</t>
  </si>
  <si>
    <t>MB-0001, ...</t>
  </si>
  <si>
    <t>Asset ID Servo 180°</t>
  </si>
  <si>
    <t>SV180-0001, ...</t>
  </si>
  <si>
    <t>Asset ID Servo 360°</t>
  </si>
  <si>
    <t>SV360-0001, ...</t>
  </si>
  <si>
    <t>Asset ID Servo MG996R</t>
  </si>
  <si>
    <t>SVMG996-0001, ...</t>
  </si>
  <si>
    <t>Asset ID Ultrasonic</t>
  </si>
  <si>
    <t>US-0001, ...</t>
  </si>
  <si>
    <t>Asset ID Battery Holder</t>
  </si>
  <si>
    <t>BH-0001, ...</t>
  </si>
  <si>
    <t>No PO</t>
  </si>
  <si>
    <t>PO-2026-001, ...</t>
  </si>
  <si>
    <t>FORM PRODUKSI MODUL</t>
  </si>
  <si>
    <t>Diisi oleh: Kepala Produksi / Staf Produksi</t>
  </si>
  <si>
    <t>Kode Barang Dipakai</t>
  </si>
  <si>
    <t>Qty Dipakai</t>
  </si>
  <si>
    <t>Jumlah Modul Dihasilkan</t>
  </si>
  <si>
    <t>Dirakit Oleh</t>
  </si>
  <si>
    <t>FORM QC MODUL</t>
  </si>
  <si>
    <t>Diisi oleh: Kepala Produksi (pemeriksa kualitas)</t>
  </si>
  <si>
    <t>Kode Box Tujuan (jika ada)</t>
  </si>
  <si>
    <t>Hasil QC</t>
  </si>
  <si>
    <t>Item Bermasalah (jika Tidak Lolos)</t>
  </si>
  <si>
    <t>Diperiksa Oleh</t>
  </si>
  <si>
    <t>FORM PENGIRIMAN SEKOLAH</t>
  </si>
  <si>
    <t>Diisi oleh: Staf Gudang / Koordinator Sekolah</t>
  </si>
  <si>
    <t>Tanggal Kirim</t>
  </si>
  <si>
    <t>Nama Sekolah</t>
  </si>
  <si>
    <t>Jumlah Box Dikirim</t>
  </si>
  <si>
    <t>Dikirim Oleh</t>
  </si>
  <si>
    <t>Diterima Oleh (Sekolah)</t>
  </si>
  <si>
    <t>TOTAL</t>
  </si>
  <si>
    <t>FORM PENGEMBALIAN</t>
  </si>
  <si>
    <t>Diisi oleh: Staf Gudang (QC penerimaan kembali)</t>
  </si>
  <si>
    <t>Tanggal Kembali</t>
  </si>
  <si>
    <t>Kondisi</t>
  </si>
  <si>
    <t>Kode Barang Bermasalah</t>
  </si>
  <si>
    <t>Qty Bermasalah</t>
  </si>
  <si>
    <t>FORM REPAIR</t>
  </si>
  <si>
    <t>Diisi oleh: Teknisi Repair</t>
  </si>
  <si>
    <t>Asset ID (opsional)</t>
  </si>
  <si>
    <t>Jenis Kerusakan</t>
  </si>
  <si>
    <t>Tindakan Perbaikan</t>
  </si>
  <si>
    <t>Qty</t>
  </si>
  <si>
    <t>Hasil</t>
  </si>
  <si>
    <t>Diperbaiki Oleh</t>
  </si>
  <si>
    <t>FORM STOCK OPNAME</t>
  </si>
  <si>
    <t>Diisi oleh: Staf Gudang bersama Kepala Produksi</t>
  </si>
  <si>
    <t>Qty Menurut Sistem</t>
  </si>
  <si>
    <t>Qty Hasil Hitung Fisik</t>
  </si>
  <si>
    <t>Selisih</t>
  </si>
  <si>
    <t>Keterangan Selisih</t>
  </si>
  <si>
    <t>Dihitung Oleh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</si>
</sst>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1.0"/>
      <color theme="1"/>
      <name val="Calibri"/>
    </font>
    <font>
      <i/>
      <sz val="10.0"/>
      <color rgb="FF808080"/>
      <name val="Arial"/>
    </font>
    <font>
      <color theme="1"/>
      <name val="Arial"/>
    </font>
    <font>
      <b/>
      <sz val="10.0"/>
      <color rgb="FF1F4E78"/>
      <name val="Arial"/>
    </font>
    <font>
      <b/>
      <sz val="11.0"/>
      <color rgb="FFFFFFFF"/>
      <name val="Arial"/>
    </font>
    <font>
      <b/>
      <sz val="11.0"/>
      <color rgb="FFFFFFFF"/>
      <name val="Calibri"/>
    </font>
    <font>
      <b/>
      <sz val="12.0"/>
      <color rgb="FFFFFFFF"/>
      <name val="Arial"/>
    </font>
    <font/>
    <font>
      <sz val="11.0"/>
      <color theme="1"/>
      <name val="Calibri"/>
    </font>
    <font>
      <sz val="11.0"/>
      <color theme="1"/>
      <name val="Arial"/>
    </font>
    <font>
      <i/>
      <sz val="11.0"/>
      <color rgb="FF44546A"/>
      <name val="Arial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DE7"/>
        <bgColor rgb="FFFFFDE7"/>
      </patternFill>
    </fill>
    <fill>
      <patternFill patternType="solid">
        <fgColor rgb="FF8EA9C1"/>
        <bgColor rgb="FF8EA9C1"/>
      </patternFill>
    </fill>
    <fill>
      <patternFill patternType="solid">
        <fgColor rgb="FFF2F2F2"/>
        <bgColor rgb="FFF2F2F2"/>
      </patternFill>
    </fill>
    <fill>
      <patternFill patternType="solid">
        <fgColor rgb="FFEAF1F8"/>
        <bgColor rgb="FFEAF1F8"/>
      </patternFill>
    </fill>
    <fill>
      <patternFill patternType="solid">
        <fgColor rgb="FFD9E2F3"/>
        <bgColor rgb="FFD9E2F3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bottom style="double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Font="1"/>
    <xf borderId="1" fillId="3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vertical="bottom"/>
    </xf>
    <xf borderId="3" fillId="3" fontId="8" numFmtId="0" xfId="0" applyBorder="1" applyFill="1" applyFont="1"/>
    <xf borderId="4" fillId="0" fontId="9" numFmtId="0" xfId="0" applyBorder="1" applyFont="1"/>
    <xf borderId="5" fillId="0" fontId="9" numFmtId="0" xfId="0" applyBorder="1" applyFont="1"/>
    <xf borderId="2" fillId="0" fontId="10" numFmtId="0" xfId="0" applyAlignment="1" applyBorder="1" applyFont="1">
      <alignment horizontal="center" vertical="bottom"/>
    </xf>
    <xf borderId="1" fillId="4" fontId="11" numFmtId="0" xfId="0" applyBorder="1" applyFill="1" applyFont="1"/>
    <xf borderId="2" fillId="0" fontId="10" numFmtId="0" xfId="0" applyAlignment="1" applyBorder="1" applyFont="1">
      <alignment vertical="bottom"/>
    </xf>
    <xf borderId="1" fillId="4" fontId="11" numFmtId="164" xfId="0" applyAlignment="1" applyBorder="1" applyFill="1" applyFont="1" applyNumberFormat="1">
      <alignment readingOrder="0"/>
    </xf>
    <xf borderId="2" fillId="0" fontId="4" numFmtId="0" xfId="0" applyAlignment="1" applyBorder="1" applyFont="1">
      <alignment vertical="bottom"/>
    </xf>
    <xf borderId="1" fillId="4" fontId="11" numFmtId="0" xfId="0" applyAlignment="1" applyBorder="1" applyFill="1" applyFont="1">
      <alignment readingOrder="0"/>
    </xf>
    <xf borderId="1" fillId="5" fontId="6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vertical="bottom"/>
    </xf>
    <xf borderId="2" fillId="6" fontId="10" numFmtId="0" xfId="0" applyAlignment="1" applyBorder="1" applyFill="1" applyFont="1">
      <alignment vertical="bottom"/>
    </xf>
    <xf borderId="1" fillId="0" fontId="11" numFmtId="0" xfId="0" applyBorder="1" applyFont="1"/>
    <xf borderId="2" fillId="6" fontId="4" numFmtId="0" xfId="0" applyAlignment="1" applyBorder="1" applyFill="1" applyFont="1">
      <alignment vertical="bottom"/>
    </xf>
    <xf borderId="1" fillId="7" fontId="11" numFmtId="0" xfId="0" applyBorder="1" applyFill="1" applyFont="1"/>
    <xf borderId="1" fillId="7" fontId="12" numFmtId="0" xfId="0" applyBorder="1" applyFill="1" applyFont="1"/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horizontal="center" vertical="bottom"/>
    </xf>
    <xf borderId="0" fillId="0" fontId="11" numFmtId="0" xfId="0" applyFont="1"/>
    <xf borderId="0" fillId="2" fontId="2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vertical="bottom"/>
    </xf>
    <xf borderId="7" fillId="3" fontId="7" numFmtId="0" xfId="0" applyAlignment="1" applyBorder="1" applyFill="1" applyFont="1">
      <alignment horizontal="center" vertical="bottom"/>
    </xf>
    <xf borderId="7" fillId="0" fontId="4" numFmtId="0" xfId="0" applyAlignment="1" applyBorder="1" applyFont="1">
      <alignment vertical="bottom"/>
    </xf>
    <xf borderId="1" fillId="0" fontId="11" numFmtId="0" xfId="0" applyAlignment="1" applyBorder="1" applyFont="1">
      <alignment readingOrder="0"/>
    </xf>
    <xf borderId="7" fillId="6" fontId="4" numFmtId="0" xfId="0" applyAlignment="1" applyBorder="1" applyFill="1" applyFont="1">
      <alignment vertical="bottom"/>
    </xf>
    <xf borderId="8" fillId="0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1" fillId="8" fontId="13" numFmtId="0" xfId="0" applyBorder="1" applyFill="1" applyFont="1"/>
  </cellXfs>
  <cellStyles count="1">
    <cellStyle xfId="0" name="Normal" builtinId="0"/>
  </cellStyles>
  <dxfs count="2"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  <name val="Arial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39.43"/>
    <col customWidth="1" min="2" max="2" width="42.0"/>
    <col customWidth="1" min="3" max="3" width="22.0"/>
    <col customWidth="1" min="4" max="4" width="12.0"/>
    <col customWidth="1" min="5" max="26" width="8.71"/>
  </cols>
  <sheetData>
    <row r="1">
      <c r="A1" s="1" t="s">
        <v>0</v>
      </c>
    </row>
    <row r="2">
      <c r="A2" s="3" t="s">
        <v>4</v>
      </c>
    </row>
    <row r="4">
      <c r="A4" s="8" t="s">
        <v>7</v>
      </c>
      <c r="B4" s="9"/>
      <c r="C4" s="9"/>
      <c r="D4" s="10"/>
    </row>
    <row r="5">
      <c r="A5" s="17" t="s">
        <v>13</v>
      </c>
      <c r="B5" s="17" t="s">
        <v>15</v>
      </c>
      <c r="C5" s="17" t="s">
        <v>22</v>
      </c>
      <c r="D5" s="17" t="s">
        <v>19</v>
      </c>
    </row>
    <row r="6">
      <c r="A6" s="20" t="s">
        <v>36</v>
      </c>
      <c r="B6" s="20" t="s">
        <v>33</v>
      </c>
      <c r="C6" s="20" t="s">
        <v>38</v>
      </c>
      <c r="D6" s="20" t="s">
        <v>39</v>
      </c>
    </row>
    <row r="7">
      <c r="A7" s="20" t="s">
        <v>40</v>
      </c>
      <c r="B7" s="20" t="s">
        <v>41</v>
      </c>
      <c r="C7" s="20" t="s">
        <v>38</v>
      </c>
      <c r="D7" s="20" t="s">
        <v>39</v>
      </c>
    </row>
    <row r="8">
      <c r="A8" s="20" t="s">
        <v>42</v>
      </c>
      <c r="B8" s="20" t="s">
        <v>43</v>
      </c>
      <c r="C8" s="20" t="s">
        <v>38</v>
      </c>
      <c r="D8" s="20" t="s">
        <v>39</v>
      </c>
    </row>
    <row r="9">
      <c r="A9" s="20" t="s">
        <v>45</v>
      </c>
      <c r="B9" s="20" t="s">
        <v>46</v>
      </c>
      <c r="C9" s="20" t="s">
        <v>47</v>
      </c>
      <c r="D9" s="20" t="s">
        <v>39</v>
      </c>
    </row>
    <row r="10">
      <c r="A10" s="20" t="s">
        <v>48</v>
      </c>
      <c r="B10" s="20" t="s">
        <v>49</v>
      </c>
      <c r="C10" s="20" t="s">
        <v>47</v>
      </c>
      <c r="D10" s="20" t="s">
        <v>39</v>
      </c>
    </row>
    <row r="11">
      <c r="A11" s="20" t="s">
        <v>52</v>
      </c>
      <c r="B11" s="20" t="s">
        <v>53</v>
      </c>
      <c r="C11" s="20" t="s">
        <v>47</v>
      </c>
      <c r="D11" s="20" t="s">
        <v>39</v>
      </c>
    </row>
    <row r="12">
      <c r="A12" s="20" t="s">
        <v>54</v>
      </c>
      <c r="B12" s="20" t="s">
        <v>55</v>
      </c>
      <c r="C12" s="20" t="s">
        <v>56</v>
      </c>
      <c r="D12" s="20" t="s">
        <v>39</v>
      </c>
    </row>
    <row r="13">
      <c r="A13" s="20" t="s">
        <v>57</v>
      </c>
      <c r="B13" s="20" t="s">
        <v>58</v>
      </c>
      <c r="C13" s="20" t="s">
        <v>59</v>
      </c>
      <c r="D13" s="20" t="s">
        <v>39</v>
      </c>
    </row>
    <row r="14">
      <c r="A14" s="20" t="s">
        <v>60</v>
      </c>
      <c r="B14" s="20" t="s">
        <v>61</v>
      </c>
      <c r="C14" s="20" t="s">
        <v>59</v>
      </c>
      <c r="D14" s="20" t="s">
        <v>39</v>
      </c>
    </row>
    <row r="15">
      <c r="A15" s="20" t="s">
        <v>62</v>
      </c>
      <c r="B15" s="20" t="s">
        <v>63</v>
      </c>
      <c r="C15" s="20" t="s">
        <v>59</v>
      </c>
      <c r="D15" s="20" t="s">
        <v>39</v>
      </c>
    </row>
    <row r="16">
      <c r="A16" s="20" t="s">
        <v>67</v>
      </c>
      <c r="B16" s="20" t="s">
        <v>68</v>
      </c>
      <c r="C16" s="20" t="s">
        <v>69</v>
      </c>
      <c r="D16" s="20" t="s">
        <v>39</v>
      </c>
    </row>
    <row r="17">
      <c r="A17" s="20" t="s">
        <v>70</v>
      </c>
      <c r="B17" s="20" t="s">
        <v>72</v>
      </c>
      <c r="C17" s="20" t="s">
        <v>69</v>
      </c>
      <c r="D17" s="20" t="s">
        <v>39</v>
      </c>
    </row>
    <row r="18">
      <c r="A18" s="20" t="s">
        <v>73</v>
      </c>
      <c r="B18" s="20" t="s">
        <v>66</v>
      </c>
      <c r="C18" s="20" t="s">
        <v>74</v>
      </c>
      <c r="D18" s="20" t="s">
        <v>39</v>
      </c>
    </row>
    <row r="19">
      <c r="A19" s="20" t="s">
        <v>75</v>
      </c>
      <c r="B19" s="20" t="s">
        <v>76</v>
      </c>
      <c r="C19" s="20" t="s">
        <v>74</v>
      </c>
      <c r="D19" s="20" t="s">
        <v>39</v>
      </c>
    </row>
    <row r="20">
      <c r="A20" s="20" t="s">
        <v>78</v>
      </c>
      <c r="B20" s="20" t="s">
        <v>79</v>
      </c>
      <c r="C20" s="20" t="s">
        <v>74</v>
      </c>
      <c r="D20" s="20" t="s">
        <v>39</v>
      </c>
    </row>
    <row r="21" ht="15.75" customHeight="1">
      <c r="A21" s="20" t="s">
        <v>80</v>
      </c>
      <c r="B21" s="20" t="s">
        <v>81</v>
      </c>
      <c r="C21" s="20" t="s">
        <v>74</v>
      </c>
      <c r="D21" s="20" t="s">
        <v>39</v>
      </c>
    </row>
    <row r="22" ht="15.75" customHeight="1">
      <c r="A22" s="20" t="s">
        <v>82</v>
      </c>
      <c r="B22" s="20" t="s">
        <v>83</v>
      </c>
      <c r="C22" s="20" t="s">
        <v>74</v>
      </c>
      <c r="D22" s="20" t="s">
        <v>39</v>
      </c>
    </row>
    <row r="23" ht="15.75" customHeight="1">
      <c r="A23" s="20" t="s">
        <v>84</v>
      </c>
      <c r="B23" s="20" t="s">
        <v>85</v>
      </c>
      <c r="C23" s="20" t="s">
        <v>74</v>
      </c>
      <c r="D23" s="20" t="s">
        <v>39</v>
      </c>
    </row>
    <row r="24" ht="15.75" customHeight="1">
      <c r="A24" s="20" t="s">
        <v>51</v>
      </c>
      <c r="B24" s="20" t="s">
        <v>86</v>
      </c>
      <c r="C24" s="20" t="s">
        <v>74</v>
      </c>
      <c r="D24" s="20" t="s">
        <v>39</v>
      </c>
    </row>
    <row r="25" ht="15.75" customHeight="1">
      <c r="A25" s="20" t="s">
        <v>87</v>
      </c>
      <c r="B25" s="20" t="s">
        <v>88</v>
      </c>
      <c r="C25" s="20" t="s">
        <v>89</v>
      </c>
      <c r="D25" s="20" t="s">
        <v>39</v>
      </c>
    </row>
    <row r="26" ht="15.75" customHeight="1">
      <c r="A26" s="20" t="s">
        <v>90</v>
      </c>
      <c r="B26" s="20" t="s">
        <v>91</v>
      </c>
      <c r="C26" s="20" t="s">
        <v>89</v>
      </c>
      <c r="D26" s="20" t="s">
        <v>39</v>
      </c>
    </row>
    <row r="27" ht="15.75" customHeight="1">
      <c r="A27" s="20" t="s">
        <v>92</v>
      </c>
      <c r="B27" s="20" t="s">
        <v>93</v>
      </c>
      <c r="C27" s="20" t="s">
        <v>89</v>
      </c>
      <c r="D27" s="20" t="s">
        <v>39</v>
      </c>
    </row>
    <row r="28" ht="15.75" customHeight="1">
      <c r="A28" s="20" t="s">
        <v>94</v>
      </c>
      <c r="B28" s="20" t="s">
        <v>95</v>
      </c>
      <c r="C28" s="20" t="s">
        <v>89</v>
      </c>
      <c r="D28" s="20" t="s">
        <v>98</v>
      </c>
    </row>
    <row r="29" ht="15.75" customHeight="1">
      <c r="A29" s="20" t="s">
        <v>100</v>
      </c>
      <c r="B29" s="20" t="s">
        <v>101</v>
      </c>
      <c r="C29" s="20" t="s">
        <v>89</v>
      </c>
      <c r="D29" s="20" t="s">
        <v>39</v>
      </c>
    </row>
    <row r="30" ht="15.75" customHeight="1">
      <c r="A30" s="20" t="s">
        <v>102</v>
      </c>
      <c r="B30" s="20" t="s">
        <v>103</v>
      </c>
      <c r="C30" s="20" t="s">
        <v>104</v>
      </c>
      <c r="D30" s="20" t="s">
        <v>106</v>
      </c>
    </row>
    <row r="31" ht="15.75" customHeight="1">
      <c r="A31" s="20" t="s">
        <v>107</v>
      </c>
      <c r="B31" s="20" t="s">
        <v>108</v>
      </c>
      <c r="C31" s="20" t="s">
        <v>104</v>
      </c>
      <c r="D31" s="20" t="s">
        <v>39</v>
      </c>
    </row>
    <row r="32" ht="15.75" customHeight="1">
      <c r="A32" s="20" t="s">
        <v>109</v>
      </c>
      <c r="B32" s="20" t="s">
        <v>110</v>
      </c>
      <c r="C32" s="20" t="s">
        <v>104</v>
      </c>
      <c r="D32" s="20" t="s">
        <v>111</v>
      </c>
    </row>
    <row r="33" ht="15.75" customHeight="1">
      <c r="A33" s="20" t="s">
        <v>112</v>
      </c>
      <c r="B33" s="20" t="s">
        <v>113</v>
      </c>
      <c r="C33" s="20" t="s">
        <v>104</v>
      </c>
      <c r="D33" s="20" t="s">
        <v>111</v>
      </c>
    </row>
    <row r="34" ht="15.75" customHeight="1">
      <c r="A34" s="20" t="s">
        <v>114</v>
      </c>
      <c r="B34" s="20" t="s">
        <v>115</v>
      </c>
      <c r="C34" s="20" t="s">
        <v>104</v>
      </c>
      <c r="D34" s="20" t="s">
        <v>39</v>
      </c>
    </row>
    <row r="35" ht="15.75" customHeight="1">
      <c r="A35" s="20" t="s">
        <v>116</v>
      </c>
      <c r="B35" s="20" t="s">
        <v>117</v>
      </c>
      <c r="C35" s="20" t="s">
        <v>104</v>
      </c>
      <c r="D35" s="20" t="s">
        <v>39</v>
      </c>
    </row>
    <row r="36" ht="15.75" customHeight="1">
      <c r="A36" s="20" t="s">
        <v>120</v>
      </c>
      <c r="B36" s="20" t="s">
        <v>121</v>
      </c>
      <c r="C36" s="20" t="s">
        <v>104</v>
      </c>
      <c r="D36" s="20" t="s">
        <v>106</v>
      </c>
    </row>
    <row r="37" ht="15.75" customHeight="1">
      <c r="A37" s="20" t="s">
        <v>122</v>
      </c>
      <c r="B37" s="20" t="s">
        <v>123</v>
      </c>
      <c r="C37" s="20" t="s">
        <v>124</v>
      </c>
      <c r="D37" s="20" t="s">
        <v>39</v>
      </c>
    </row>
    <row r="38" ht="15.75" customHeight="1">
      <c r="A38" s="20" t="s">
        <v>127</v>
      </c>
      <c r="B38" s="20" t="s">
        <v>128</v>
      </c>
      <c r="C38" s="20" t="s">
        <v>124</v>
      </c>
      <c r="D38" s="20" t="s">
        <v>39</v>
      </c>
    </row>
    <row r="39" ht="15.75" customHeight="1">
      <c r="A39" s="20" t="s">
        <v>129</v>
      </c>
      <c r="B39" s="20" t="s">
        <v>130</v>
      </c>
      <c r="C39" s="20" t="s">
        <v>124</v>
      </c>
      <c r="D39" s="20" t="s">
        <v>39</v>
      </c>
    </row>
    <row r="40" ht="15.75" customHeight="1">
      <c r="A40" s="20" t="s">
        <v>131</v>
      </c>
      <c r="B40" s="20" t="s">
        <v>132</v>
      </c>
      <c r="C40" s="20" t="s">
        <v>124</v>
      </c>
      <c r="D40" s="20" t="s">
        <v>39</v>
      </c>
    </row>
    <row r="41" ht="15.75" customHeight="1">
      <c r="A41" s="24" t="s">
        <v>133</v>
      </c>
      <c r="B41" s="24" t="s">
        <v>134</v>
      </c>
      <c r="C41" s="24" t="s">
        <v>136</v>
      </c>
      <c r="D41" s="24" t="s">
        <v>39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4" t="s">
        <v>141</v>
      </c>
      <c r="B42" s="24" t="s">
        <v>142</v>
      </c>
      <c r="C42" s="24" t="s">
        <v>136</v>
      </c>
      <c r="D42" s="24" t="s">
        <v>39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4" t="s">
        <v>144</v>
      </c>
      <c r="B43" s="24" t="s">
        <v>145</v>
      </c>
      <c r="C43" s="24" t="s">
        <v>136</v>
      </c>
      <c r="D43" s="24" t="s">
        <v>39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4" t="s">
        <v>146</v>
      </c>
      <c r="B44" s="24" t="s">
        <v>147</v>
      </c>
      <c r="C44" s="24" t="s">
        <v>136</v>
      </c>
      <c r="D44" s="24" t="s">
        <v>39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4" t="s">
        <v>149</v>
      </c>
      <c r="B45" s="24" t="s">
        <v>150</v>
      </c>
      <c r="C45" s="24" t="s">
        <v>136</v>
      </c>
      <c r="D45" s="24" t="s">
        <v>39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4" t="s">
        <v>151</v>
      </c>
      <c r="B46" s="24" t="s">
        <v>152</v>
      </c>
      <c r="C46" s="24" t="s">
        <v>136</v>
      </c>
      <c r="D46" s="24" t="s">
        <v>106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8"/>
      <c r="B47" s="28"/>
      <c r="C47" s="28"/>
      <c r="D47" s="28"/>
    </row>
    <row r="48" ht="15.75" customHeight="1"/>
    <row r="49" ht="15.75" customHeight="1">
      <c r="A49" s="8" t="s">
        <v>154</v>
      </c>
      <c r="B49" s="9"/>
      <c r="C49" s="9"/>
      <c r="D49" s="10"/>
    </row>
    <row r="50" ht="15.75" customHeight="1">
      <c r="A50" s="17" t="s">
        <v>155</v>
      </c>
      <c r="B50" s="17" t="s">
        <v>156</v>
      </c>
      <c r="C50" s="17"/>
      <c r="D50" s="17"/>
    </row>
    <row r="51" ht="15.75" customHeight="1">
      <c r="A51" s="20" t="s">
        <v>157</v>
      </c>
      <c r="B51" s="20" t="s">
        <v>158</v>
      </c>
    </row>
    <row r="52" ht="15.75" customHeight="1">
      <c r="A52" s="20" t="s">
        <v>159</v>
      </c>
      <c r="B52" s="20" t="s">
        <v>160</v>
      </c>
    </row>
    <row r="53" ht="15.75" customHeight="1">
      <c r="A53" s="20" t="s">
        <v>161</v>
      </c>
      <c r="B53" s="20" t="s">
        <v>162</v>
      </c>
    </row>
    <row r="54" ht="15.75" customHeight="1">
      <c r="A54" s="20" t="s">
        <v>163</v>
      </c>
      <c r="B54" s="20" t="s">
        <v>164</v>
      </c>
    </row>
    <row r="55" ht="15.75" customHeight="1">
      <c r="A55" s="20" t="s">
        <v>165</v>
      </c>
      <c r="B55" s="20" t="s">
        <v>166</v>
      </c>
    </row>
    <row r="56" ht="15.75" customHeight="1">
      <c r="A56" s="20" t="s">
        <v>167</v>
      </c>
      <c r="B56" s="20" t="s">
        <v>168</v>
      </c>
    </row>
    <row r="57" ht="15.75" customHeight="1">
      <c r="A57" s="20" t="s">
        <v>169</v>
      </c>
      <c r="B57" s="20" t="s">
        <v>170</v>
      </c>
    </row>
    <row r="58" ht="15.75" customHeight="1">
      <c r="A58" s="20" t="s">
        <v>171</v>
      </c>
      <c r="B58" s="33" t="s">
        <v>172</v>
      </c>
    </row>
    <row r="59" ht="15.75" customHeight="1">
      <c r="A59" s="20" t="s">
        <v>173</v>
      </c>
      <c r="B59" s="33" t="s">
        <v>174</v>
      </c>
    </row>
    <row r="60" ht="15.75" customHeight="1">
      <c r="A60" s="20" t="s">
        <v>175</v>
      </c>
      <c r="B60" s="20" t="s">
        <v>176</v>
      </c>
    </row>
    <row r="61" ht="15.75" customHeight="1">
      <c r="A61" s="20" t="s">
        <v>177</v>
      </c>
      <c r="B61" s="20" t="s">
        <v>176</v>
      </c>
    </row>
    <row r="62" ht="15.75" customHeight="1">
      <c r="A62" s="20" t="s">
        <v>178</v>
      </c>
      <c r="B62" s="28"/>
    </row>
    <row r="63" ht="15.75" customHeight="1">
      <c r="A63" s="20" t="s">
        <v>179</v>
      </c>
      <c r="B63" s="28"/>
    </row>
    <row r="64" ht="15.75" customHeight="1">
      <c r="A64" s="20"/>
      <c r="B64" s="28"/>
    </row>
    <row r="65" ht="15.75" customHeight="1"/>
    <row r="66" ht="15.75" customHeight="1">
      <c r="A66" s="8" t="s">
        <v>180</v>
      </c>
      <c r="B66" s="9"/>
      <c r="C66" s="9"/>
      <c r="D66" s="10"/>
    </row>
    <row r="67" ht="15.75" customHeight="1">
      <c r="A67" s="17" t="s">
        <v>181</v>
      </c>
      <c r="B67" s="17" t="s">
        <v>182</v>
      </c>
      <c r="C67" s="17"/>
      <c r="D67" s="17"/>
    </row>
    <row r="68" ht="15.75" customHeight="1">
      <c r="A68" s="20" t="s">
        <v>183</v>
      </c>
      <c r="B68" s="20" t="s">
        <v>184</v>
      </c>
    </row>
    <row r="69" ht="15.75" customHeight="1">
      <c r="A69" s="20" t="s">
        <v>185</v>
      </c>
      <c r="B69" s="20" t="s">
        <v>186</v>
      </c>
    </row>
    <row r="70" ht="15.75" customHeight="1">
      <c r="A70" s="20" t="s">
        <v>187</v>
      </c>
      <c r="B70" s="20" t="s">
        <v>188</v>
      </c>
    </row>
    <row r="71" ht="15.75" customHeight="1"/>
    <row r="72" ht="15.75" customHeight="1">
      <c r="A72" s="8" t="s">
        <v>189</v>
      </c>
      <c r="B72" s="9"/>
      <c r="C72" s="9"/>
      <c r="D72" s="10"/>
    </row>
    <row r="73" ht="15.75" customHeight="1">
      <c r="A73" s="17" t="s">
        <v>190</v>
      </c>
      <c r="B73" s="17" t="s">
        <v>191</v>
      </c>
      <c r="C73" s="17"/>
      <c r="D73" s="17"/>
    </row>
    <row r="74" ht="15.75" customHeight="1">
      <c r="A74" s="20" t="s">
        <v>192</v>
      </c>
      <c r="B74" s="20" t="s">
        <v>193</v>
      </c>
    </row>
    <row r="75" ht="15.75" customHeight="1">
      <c r="A75" s="20" t="s">
        <v>194</v>
      </c>
      <c r="B75" s="20" t="s">
        <v>195</v>
      </c>
    </row>
    <row r="76" ht="15.75" customHeight="1">
      <c r="A76" s="20" t="s">
        <v>196</v>
      </c>
      <c r="B76" s="20" t="s">
        <v>197</v>
      </c>
    </row>
    <row r="77" ht="15.75" customHeight="1">
      <c r="A77" s="20" t="s">
        <v>198</v>
      </c>
      <c r="B77" s="20" t="s">
        <v>199</v>
      </c>
    </row>
    <row r="78" ht="15.75" customHeight="1">
      <c r="A78" s="20" t="s">
        <v>200</v>
      </c>
      <c r="B78" s="20" t="s">
        <v>201</v>
      </c>
    </row>
    <row r="79" ht="15.75" customHeight="1">
      <c r="A79" s="20" t="s">
        <v>202</v>
      </c>
      <c r="B79" s="20" t="s">
        <v>203</v>
      </c>
    </row>
    <row r="80" ht="15.75" customHeight="1">
      <c r="A80" s="20" t="s">
        <v>204</v>
      </c>
      <c r="B80" s="20" t="s">
        <v>205</v>
      </c>
    </row>
    <row r="81" ht="15.75" customHeight="1">
      <c r="A81" s="20" t="s">
        <v>206</v>
      </c>
      <c r="B81" s="20" t="s">
        <v>207</v>
      </c>
    </row>
    <row r="82" ht="15.75" customHeight="1">
      <c r="A82" s="20" t="s">
        <v>208</v>
      </c>
      <c r="B82" s="20" t="s">
        <v>209</v>
      </c>
    </row>
    <row r="83" ht="15.75" customHeight="1"/>
    <row r="84" ht="15.75" customHeight="1">
      <c r="A84" s="8" t="s">
        <v>210</v>
      </c>
      <c r="B84" s="9"/>
      <c r="C84" s="9"/>
      <c r="D84" s="10"/>
    </row>
    <row r="85" ht="15.75" customHeight="1">
      <c r="A85" s="17" t="s">
        <v>211</v>
      </c>
      <c r="B85" s="17" t="s">
        <v>191</v>
      </c>
      <c r="C85" s="17"/>
      <c r="D85" s="17"/>
    </row>
    <row r="86" ht="15.75" customHeight="1">
      <c r="A86" s="20" t="s">
        <v>212</v>
      </c>
      <c r="B86" s="20" t="s">
        <v>213</v>
      </c>
    </row>
    <row r="87" ht="15.75" customHeight="1">
      <c r="A87" s="20" t="s">
        <v>214</v>
      </c>
      <c r="B87" s="20" t="s">
        <v>215</v>
      </c>
    </row>
    <row r="88" ht="15.75" customHeight="1"/>
    <row r="89" ht="15.75" customHeight="1">
      <c r="A89" s="8" t="s">
        <v>216</v>
      </c>
      <c r="B89" s="9"/>
      <c r="C89" s="9"/>
      <c r="D89" s="10"/>
    </row>
    <row r="90" ht="15.75" customHeight="1">
      <c r="A90" s="17" t="s">
        <v>211</v>
      </c>
      <c r="B90" s="17" t="s">
        <v>191</v>
      </c>
      <c r="C90" s="17"/>
      <c r="D90" s="17"/>
    </row>
    <row r="91" ht="15.75" customHeight="1">
      <c r="A91" s="20" t="s">
        <v>218</v>
      </c>
      <c r="B91" s="20" t="s">
        <v>219</v>
      </c>
    </row>
    <row r="92" ht="15.75" customHeight="1">
      <c r="A92" s="20" t="s">
        <v>220</v>
      </c>
      <c r="B92" s="20" t="s">
        <v>221</v>
      </c>
    </row>
    <row r="93" ht="15.75" customHeight="1">
      <c r="A93" s="20" t="s">
        <v>222</v>
      </c>
      <c r="B93" s="20" t="s">
        <v>223</v>
      </c>
    </row>
    <row r="94" ht="15.75" customHeight="1"/>
    <row r="95" ht="15.75" customHeight="1">
      <c r="A95" s="8" t="s">
        <v>224</v>
      </c>
      <c r="B95" s="9"/>
      <c r="C95" s="9"/>
      <c r="D95" s="10"/>
    </row>
    <row r="96" ht="15.75" customHeight="1">
      <c r="A96" s="17" t="s">
        <v>211</v>
      </c>
      <c r="B96" s="17" t="s">
        <v>191</v>
      </c>
      <c r="C96" s="17"/>
      <c r="D96" s="17"/>
    </row>
    <row r="97" ht="15.75" customHeight="1">
      <c r="A97" s="20" t="s">
        <v>226</v>
      </c>
      <c r="B97" s="20" t="s">
        <v>227</v>
      </c>
    </row>
    <row r="98" ht="15.75" customHeight="1">
      <c r="A98" s="20" t="s">
        <v>228</v>
      </c>
      <c r="B98" s="20" t="s">
        <v>229</v>
      </c>
    </row>
    <row r="99" ht="15.75" customHeight="1"/>
    <row r="100" ht="15.75" customHeight="1">
      <c r="A100" s="8" t="s">
        <v>231</v>
      </c>
      <c r="B100" s="9"/>
      <c r="C100" s="9"/>
      <c r="D100" s="10"/>
    </row>
    <row r="101" ht="15.75" customHeight="1">
      <c r="A101" s="17" t="s">
        <v>232</v>
      </c>
      <c r="B101" s="17" t="s">
        <v>233</v>
      </c>
      <c r="C101" s="17"/>
      <c r="D101" s="17"/>
    </row>
    <row r="102" ht="15.75" customHeight="1">
      <c r="A102" s="20" t="s">
        <v>234</v>
      </c>
      <c r="B102" s="20" t="s">
        <v>235</v>
      </c>
    </row>
    <row r="103" ht="15.75" customHeight="1">
      <c r="A103" s="20" t="s">
        <v>236</v>
      </c>
      <c r="B103" s="20" t="s">
        <v>237</v>
      </c>
    </row>
    <row r="104" ht="15.75" customHeight="1">
      <c r="A104" s="20" t="s">
        <v>238</v>
      </c>
      <c r="B104" s="20" t="s">
        <v>239</v>
      </c>
    </row>
    <row r="105" ht="15.75" customHeight="1">
      <c r="A105" s="20" t="s">
        <v>240</v>
      </c>
      <c r="B105" s="20" t="s">
        <v>241</v>
      </c>
    </row>
    <row r="106" ht="15.75" customHeight="1">
      <c r="A106" s="20" t="s">
        <v>242</v>
      </c>
      <c r="B106" s="20" t="s">
        <v>243</v>
      </c>
    </row>
    <row r="107" ht="15.75" customHeight="1">
      <c r="A107" s="20" t="s">
        <v>244</v>
      </c>
      <c r="B107" s="20" t="s">
        <v>245</v>
      </c>
    </row>
    <row r="108" ht="15.75" customHeight="1">
      <c r="A108" s="20" t="s">
        <v>246</v>
      </c>
      <c r="B108" s="20" t="s">
        <v>247</v>
      </c>
    </row>
    <row r="109" ht="15.75" customHeight="1">
      <c r="A109" s="20" t="s">
        <v>248</v>
      </c>
      <c r="B109" s="20" t="s">
        <v>249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1">
    <mergeCell ref="A84:D84"/>
    <mergeCell ref="A89:D89"/>
    <mergeCell ref="A95:D95"/>
    <mergeCell ref="A100:D100"/>
    <mergeCell ref="A1:D1"/>
    <mergeCell ref="A2:D2"/>
    <mergeCell ref="A3:D3"/>
    <mergeCell ref="A4:D4"/>
    <mergeCell ref="A49:D49"/>
    <mergeCell ref="A66:D66"/>
    <mergeCell ref="A72:D7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1">
      <c r="A1" s="2" t="s">
        <v>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outlineLevel="1">
      <c r="A2" s="7" t="s">
        <v>8</v>
      </c>
      <c r="B2" s="7" t="s">
        <v>12</v>
      </c>
      <c r="C2" s="7" t="s">
        <v>14</v>
      </c>
      <c r="D2" s="7" t="s">
        <v>16</v>
      </c>
      <c r="E2" s="7" t="s">
        <v>17</v>
      </c>
      <c r="F2" s="7" t="s">
        <v>19</v>
      </c>
      <c r="G2" s="7" t="s">
        <v>20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outlineLevel="1">
      <c r="A3" s="11">
        <v>1.0</v>
      </c>
      <c r="B3" s="13" t="s">
        <v>27</v>
      </c>
      <c r="C3" s="13" t="s">
        <v>31</v>
      </c>
      <c r="D3" s="13" t="s">
        <v>33</v>
      </c>
      <c r="E3" s="11">
        <v>1.0</v>
      </c>
      <c r="F3" s="11" t="s">
        <v>34</v>
      </c>
      <c r="G3" s="1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outlineLevel="1">
      <c r="A4" s="18">
        <v>2.0</v>
      </c>
      <c r="B4" s="19" t="s">
        <v>27</v>
      </c>
      <c r="C4" s="19" t="s">
        <v>31</v>
      </c>
      <c r="D4" s="19" t="s">
        <v>37</v>
      </c>
      <c r="E4" s="18">
        <v>1.0</v>
      </c>
      <c r="F4" s="18" t="s">
        <v>34</v>
      </c>
      <c r="G4" s="2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outlineLevel="1">
      <c r="A5" s="11">
        <v>3.0</v>
      </c>
      <c r="B5" s="13" t="s">
        <v>27</v>
      </c>
      <c r="C5" s="13" t="s">
        <v>31</v>
      </c>
      <c r="D5" s="13" t="s">
        <v>44</v>
      </c>
      <c r="E5" s="11">
        <v>1.0</v>
      </c>
      <c r="F5" s="11" t="s">
        <v>34</v>
      </c>
      <c r="G5" s="1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outlineLevel="1">
      <c r="A6" s="18">
        <v>4.0</v>
      </c>
      <c r="B6" s="19" t="s">
        <v>27</v>
      </c>
      <c r="C6" s="19" t="s">
        <v>50</v>
      </c>
      <c r="D6" s="19" t="s">
        <v>46</v>
      </c>
      <c r="E6" s="18">
        <v>4.0</v>
      </c>
      <c r="F6" s="18" t="s">
        <v>34</v>
      </c>
      <c r="G6" s="2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outlineLevel="1">
      <c r="A7" s="11">
        <v>5.0</v>
      </c>
      <c r="B7" s="13" t="s">
        <v>27</v>
      </c>
      <c r="C7" s="13" t="s">
        <v>50</v>
      </c>
      <c r="D7" s="13" t="s">
        <v>53</v>
      </c>
      <c r="E7" s="11">
        <v>4.0</v>
      </c>
      <c r="F7" s="11" t="s">
        <v>34</v>
      </c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outlineLevel="1">
      <c r="A8" s="18">
        <v>6.0</v>
      </c>
      <c r="B8" s="19" t="s">
        <v>27</v>
      </c>
      <c r="C8" s="19" t="s">
        <v>50</v>
      </c>
      <c r="D8" s="19" t="s">
        <v>49</v>
      </c>
      <c r="E8" s="18">
        <v>4.0</v>
      </c>
      <c r="F8" s="18" t="s">
        <v>34</v>
      </c>
      <c r="G8" s="2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outlineLevel="1">
      <c r="A9" s="11">
        <v>7.0</v>
      </c>
      <c r="B9" s="13" t="s">
        <v>27</v>
      </c>
      <c r="C9" s="13" t="s">
        <v>50</v>
      </c>
      <c r="D9" s="13" t="s">
        <v>64</v>
      </c>
      <c r="E9" s="11">
        <v>12.0</v>
      </c>
      <c r="F9" s="11" t="s">
        <v>34</v>
      </c>
      <c r="G9" s="1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outlineLevel="1">
      <c r="A10" s="18">
        <v>8.0</v>
      </c>
      <c r="B10" s="19" t="s">
        <v>27</v>
      </c>
      <c r="C10" s="19" t="s">
        <v>65</v>
      </c>
      <c r="D10" s="19" t="s">
        <v>66</v>
      </c>
      <c r="E10" s="18">
        <v>1.0</v>
      </c>
      <c r="F10" s="18" t="s">
        <v>34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outlineLevel="1">
      <c r="A11" s="11">
        <v>9.0</v>
      </c>
      <c r="B11" s="13" t="s">
        <v>27</v>
      </c>
      <c r="C11" s="13" t="s">
        <v>65</v>
      </c>
      <c r="D11" s="13" t="s">
        <v>71</v>
      </c>
      <c r="E11" s="11">
        <v>2.0</v>
      </c>
      <c r="F11" s="11" t="s">
        <v>34</v>
      </c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outlineLevel="1">
      <c r="A12" s="18">
        <v>10.0</v>
      </c>
      <c r="B12" s="19" t="s">
        <v>27</v>
      </c>
      <c r="C12" s="19" t="s">
        <v>65</v>
      </c>
      <c r="D12" s="19" t="s">
        <v>77</v>
      </c>
      <c r="E12" s="18">
        <v>10.0</v>
      </c>
      <c r="F12" s="18" t="s">
        <v>34</v>
      </c>
      <c r="G12" s="2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outlineLevel="1">
      <c r="A13" s="11">
        <v>11.0</v>
      </c>
      <c r="B13" s="13" t="s">
        <v>27</v>
      </c>
      <c r="C13" s="13" t="s">
        <v>65</v>
      </c>
      <c r="D13" s="13" t="s">
        <v>76</v>
      </c>
      <c r="E13" s="11">
        <v>20.0</v>
      </c>
      <c r="F13" s="11" t="s">
        <v>34</v>
      </c>
      <c r="G13" s="1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outlineLevel="1">
      <c r="A14" s="18">
        <v>12.0</v>
      </c>
      <c r="B14" s="19" t="s">
        <v>27</v>
      </c>
      <c r="C14" s="19" t="s">
        <v>65</v>
      </c>
      <c r="D14" s="19" t="s">
        <v>81</v>
      </c>
      <c r="E14" s="18">
        <v>10.0</v>
      </c>
      <c r="F14" s="18" t="s">
        <v>34</v>
      </c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outlineLevel="1">
      <c r="A15" s="11">
        <v>13.0</v>
      </c>
      <c r="B15" s="13" t="s">
        <v>27</v>
      </c>
      <c r="C15" s="13" t="s">
        <v>65</v>
      </c>
      <c r="D15" s="13" t="s">
        <v>79</v>
      </c>
      <c r="E15" s="11">
        <v>10.0</v>
      </c>
      <c r="F15" s="11" t="s">
        <v>34</v>
      </c>
      <c r="G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outlineLevel="1">
      <c r="A16" s="18">
        <v>14.0</v>
      </c>
      <c r="B16" s="19" t="s">
        <v>96</v>
      </c>
      <c r="C16" s="19" t="s">
        <v>97</v>
      </c>
      <c r="D16" s="19" t="s">
        <v>99</v>
      </c>
      <c r="E16" s="18">
        <v>2.0</v>
      </c>
      <c r="F16" s="18" t="s">
        <v>34</v>
      </c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outlineLevel="1">
      <c r="A17" s="11">
        <v>15.0</v>
      </c>
      <c r="B17" s="13" t="s">
        <v>96</v>
      </c>
      <c r="C17" s="13" t="s">
        <v>97</v>
      </c>
      <c r="D17" s="13" t="s">
        <v>105</v>
      </c>
      <c r="E17" s="11">
        <v>2.0</v>
      </c>
      <c r="F17" s="11" t="s">
        <v>34</v>
      </c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outlineLevel="1">
      <c r="A18" s="18">
        <v>16.0</v>
      </c>
      <c r="B18" s="19" t="s">
        <v>96</v>
      </c>
      <c r="C18" s="19" t="s">
        <v>97</v>
      </c>
      <c r="D18" s="19" t="s">
        <v>63</v>
      </c>
      <c r="E18" s="18">
        <v>1.0</v>
      </c>
      <c r="F18" s="18" t="s">
        <v>34</v>
      </c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outlineLevel="1">
      <c r="A19" s="11">
        <v>17.0</v>
      </c>
      <c r="B19" s="13" t="s">
        <v>96</v>
      </c>
      <c r="C19" s="13" t="s">
        <v>118</v>
      </c>
      <c r="D19" s="13" t="s">
        <v>119</v>
      </c>
      <c r="E19" s="11">
        <v>1.0</v>
      </c>
      <c r="F19" s="11" t="s">
        <v>34</v>
      </c>
      <c r="G19" s="1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outlineLevel="1">
      <c r="A20" s="18">
        <v>18.0</v>
      </c>
      <c r="B20" s="19" t="s">
        <v>96</v>
      </c>
      <c r="C20" s="19" t="s">
        <v>125</v>
      </c>
      <c r="D20" s="19" t="s">
        <v>126</v>
      </c>
      <c r="E20" s="18">
        <v>1.0</v>
      </c>
      <c r="F20" s="18" t="s">
        <v>34</v>
      </c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outlineLevel="1">
      <c r="A21" s="11">
        <v>19.0</v>
      </c>
      <c r="B21" s="13" t="s">
        <v>96</v>
      </c>
      <c r="C21" s="13" t="s">
        <v>125</v>
      </c>
      <c r="D21" s="13" t="s">
        <v>68</v>
      </c>
      <c r="E21" s="11">
        <v>4.0</v>
      </c>
      <c r="F21" s="11" t="s">
        <v>34</v>
      </c>
      <c r="G21" s="1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outlineLevel="1">
      <c r="A22" s="18">
        <v>20.0</v>
      </c>
      <c r="B22" s="19" t="s">
        <v>135</v>
      </c>
      <c r="C22" s="19" t="s">
        <v>137</v>
      </c>
      <c r="D22" s="19" t="s">
        <v>138</v>
      </c>
      <c r="E22" s="18">
        <v>1.0</v>
      </c>
      <c r="F22" s="18" t="s">
        <v>139</v>
      </c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outlineLevel="1">
      <c r="A23" s="11">
        <v>21.0</v>
      </c>
      <c r="B23" s="13" t="s">
        <v>135</v>
      </c>
      <c r="C23" s="13" t="s">
        <v>137</v>
      </c>
      <c r="D23" s="13" t="s">
        <v>140</v>
      </c>
      <c r="E23" s="11">
        <v>1.0</v>
      </c>
      <c r="F23" s="11" t="s">
        <v>34</v>
      </c>
      <c r="G23" s="1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outlineLevel="1">
      <c r="A24" s="18">
        <v>22.0</v>
      </c>
      <c r="B24" s="19" t="s">
        <v>135</v>
      </c>
      <c r="C24" s="19" t="s">
        <v>137</v>
      </c>
      <c r="D24" s="19" t="s">
        <v>143</v>
      </c>
      <c r="E24" s="18">
        <v>2.0</v>
      </c>
      <c r="F24" s="18" t="s">
        <v>34</v>
      </c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outlineLevel="1">
      <c r="A25" s="4"/>
      <c r="B25" s="4"/>
      <c r="C25" s="4"/>
      <c r="D25" s="26" t="s">
        <v>148</v>
      </c>
      <c r="E25" s="27">
        <v>95.0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9" t="s">
        <v>153</v>
      </c>
      <c r="H27" s="30"/>
      <c r="O27" s="30"/>
      <c r="V27" s="4"/>
      <c r="W27" s="4"/>
      <c r="X27" s="4"/>
      <c r="Y27" s="4"/>
    </row>
    <row r="28" outlineLevel="1">
      <c r="A28" s="7" t="s">
        <v>8</v>
      </c>
      <c r="B28" s="7" t="s">
        <v>12</v>
      </c>
      <c r="C28" s="7" t="s">
        <v>14</v>
      </c>
      <c r="D28" s="7" t="s">
        <v>16</v>
      </c>
      <c r="E28" s="7" t="s">
        <v>17</v>
      </c>
      <c r="F28" s="7" t="s">
        <v>19</v>
      </c>
      <c r="G28" s="31" t="s">
        <v>20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4"/>
      <c r="W28" s="4"/>
      <c r="X28" s="4"/>
      <c r="Y28" s="4"/>
    </row>
    <row r="29" outlineLevel="1">
      <c r="A29" s="11">
        <v>1.0</v>
      </c>
      <c r="B29" s="13" t="s">
        <v>27</v>
      </c>
      <c r="C29" s="13" t="s">
        <v>31</v>
      </c>
      <c r="D29" s="13" t="s">
        <v>33</v>
      </c>
      <c r="E29" s="11">
        <v>1.0</v>
      </c>
      <c r="F29" s="11" t="s">
        <v>34</v>
      </c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4"/>
      <c r="W29" s="4"/>
      <c r="X29" s="4"/>
      <c r="Y29" s="4"/>
    </row>
    <row r="30" outlineLevel="1">
      <c r="A30" s="18">
        <v>2.0</v>
      </c>
      <c r="B30" s="19" t="s">
        <v>27</v>
      </c>
      <c r="C30" s="19" t="s">
        <v>31</v>
      </c>
      <c r="D30" s="19" t="s">
        <v>37</v>
      </c>
      <c r="E30" s="18">
        <v>1.0</v>
      </c>
      <c r="F30" s="18" t="s">
        <v>34</v>
      </c>
      <c r="G30" s="34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4"/>
      <c r="W30" s="4"/>
      <c r="X30" s="4"/>
      <c r="Y30" s="4"/>
    </row>
    <row r="31" outlineLevel="1">
      <c r="A31" s="11">
        <v>3.0</v>
      </c>
      <c r="B31" s="13" t="s">
        <v>27</v>
      </c>
      <c r="C31" s="13" t="s">
        <v>31</v>
      </c>
      <c r="D31" s="13" t="s">
        <v>44</v>
      </c>
      <c r="E31" s="11">
        <v>1.0</v>
      </c>
      <c r="F31" s="11" t="s">
        <v>34</v>
      </c>
      <c r="G31" s="32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4"/>
      <c r="W31" s="4"/>
      <c r="X31" s="4"/>
      <c r="Y31" s="4"/>
    </row>
    <row r="32" outlineLevel="1">
      <c r="A32" s="18">
        <v>4.0</v>
      </c>
      <c r="B32" s="19" t="s">
        <v>27</v>
      </c>
      <c r="C32" s="19" t="s">
        <v>50</v>
      </c>
      <c r="D32" s="19" t="s">
        <v>46</v>
      </c>
      <c r="E32" s="18">
        <v>4.0</v>
      </c>
      <c r="F32" s="18" t="s">
        <v>34</v>
      </c>
      <c r="G32" s="34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4"/>
      <c r="W32" s="4"/>
      <c r="X32" s="4"/>
      <c r="Y32" s="4"/>
    </row>
    <row r="33" outlineLevel="1">
      <c r="A33" s="11">
        <v>5.0</v>
      </c>
      <c r="B33" s="13" t="s">
        <v>27</v>
      </c>
      <c r="C33" s="13" t="s">
        <v>50</v>
      </c>
      <c r="D33" s="13" t="s">
        <v>53</v>
      </c>
      <c r="E33" s="11">
        <v>4.0</v>
      </c>
      <c r="F33" s="11" t="s">
        <v>34</v>
      </c>
      <c r="G33" s="32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4"/>
      <c r="W33" s="4"/>
      <c r="X33" s="4"/>
      <c r="Y33" s="4"/>
    </row>
    <row r="34" outlineLevel="1">
      <c r="A34" s="18">
        <v>6.0</v>
      </c>
      <c r="B34" s="19" t="s">
        <v>27</v>
      </c>
      <c r="C34" s="19" t="s">
        <v>50</v>
      </c>
      <c r="D34" s="19" t="s">
        <v>49</v>
      </c>
      <c r="E34" s="18">
        <v>4.0</v>
      </c>
      <c r="F34" s="18" t="s">
        <v>34</v>
      </c>
      <c r="G34" s="3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4"/>
      <c r="W34" s="4"/>
      <c r="X34" s="4"/>
      <c r="Y34" s="4"/>
    </row>
    <row r="35" outlineLevel="1">
      <c r="A35" s="11">
        <v>7.0</v>
      </c>
      <c r="B35" s="13" t="s">
        <v>27</v>
      </c>
      <c r="C35" s="13" t="s">
        <v>50</v>
      </c>
      <c r="D35" s="13" t="s">
        <v>64</v>
      </c>
      <c r="E35" s="11">
        <v>12.0</v>
      </c>
      <c r="F35" s="11" t="s">
        <v>34</v>
      </c>
      <c r="G35" s="32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4"/>
      <c r="W35" s="4"/>
      <c r="X35" s="4"/>
      <c r="Y35" s="4"/>
    </row>
    <row r="36" outlineLevel="1">
      <c r="A36" s="18">
        <v>8.0</v>
      </c>
      <c r="B36" s="19" t="s">
        <v>27</v>
      </c>
      <c r="C36" s="19" t="s">
        <v>65</v>
      </c>
      <c r="D36" s="19" t="s">
        <v>66</v>
      </c>
      <c r="E36" s="18">
        <v>1.0</v>
      </c>
      <c r="F36" s="18" t="s">
        <v>34</v>
      </c>
      <c r="G36" s="34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4"/>
      <c r="W36" s="4"/>
      <c r="X36" s="4"/>
      <c r="Y36" s="4"/>
    </row>
    <row r="37" outlineLevel="1">
      <c r="A37" s="11">
        <v>9.0</v>
      </c>
      <c r="B37" s="13" t="s">
        <v>27</v>
      </c>
      <c r="C37" s="13" t="s">
        <v>65</v>
      </c>
      <c r="D37" s="13" t="s">
        <v>71</v>
      </c>
      <c r="E37" s="11">
        <v>2.0</v>
      </c>
      <c r="F37" s="11" t="s">
        <v>34</v>
      </c>
      <c r="G37" s="32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4"/>
      <c r="W37" s="4"/>
      <c r="X37" s="4"/>
      <c r="Y37" s="4"/>
    </row>
    <row r="38" outlineLevel="1">
      <c r="A38" s="18">
        <v>10.0</v>
      </c>
      <c r="B38" s="19" t="s">
        <v>27</v>
      </c>
      <c r="C38" s="19" t="s">
        <v>65</v>
      </c>
      <c r="D38" s="19" t="s">
        <v>77</v>
      </c>
      <c r="E38" s="18">
        <v>10.0</v>
      </c>
      <c r="F38" s="18" t="s">
        <v>34</v>
      </c>
      <c r="G38" s="34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4"/>
      <c r="W38" s="4"/>
      <c r="X38" s="4"/>
      <c r="Y38" s="4"/>
    </row>
    <row r="39" outlineLevel="1">
      <c r="A39" s="11">
        <v>11.0</v>
      </c>
      <c r="B39" s="13" t="s">
        <v>27</v>
      </c>
      <c r="C39" s="13" t="s">
        <v>65</v>
      </c>
      <c r="D39" s="13" t="s">
        <v>76</v>
      </c>
      <c r="E39" s="11">
        <v>20.0</v>
      </c>
      <c r="F39" s="11" t="s">
        <v>34</v>
      </c>
      <c r="G39" s="32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4"/>
      <c r="W39" s="4"/>
      <c r="X39" s="4"/>
      <c r="Y39" s="4"/>
    </row>
    <row r="40" outlineLevel="1">
      <c r="A40" s="18">
        <v>12.0</v>
      </c>
      <c r="B40" s="19" t="s">
        <v>27</v>
      </c>
      <c r="C40" s="19" t="s">
        <v>65</v>
      </c>
      <c r="D40" s="19" t="s">
        <v>81</v>
      </c>
      <c r="E40" s="18">
        <v>10.0</v>
      </c>
      <c r="F40" s="18" t="s">
        <v>34</v>
      </c>
      <c r="G40" s="3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4"/>
      <c r="W40" s="4"/>
      <c r="X40" s="4"/>
      <c r="Y40" s="4"/>
    </row>
    <row r="41" outlineLevel="1">
      <c r="A41" s="11">
        <v>13.0</v>
      </c>
      <c r="B41" s="13" t="s">
        <v>27</v>
      </c>
      <c r="C41" s="13" t="s">
        <v>65</v>
      </c>
      <c r="D41" s="13" t="s">
        <v>79</v>
      </c>
      <c r="E41" s="11">
        <v>10.0</v>
      </c>
      <c r="F41" s="11" t="s">
        <v>34</v>
      </c>
      <c r="G41" s="1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4"/>
      <c r="W41" s="4"/>
      <c r="X41" s="4"/>
      <c r="Y41" s="4"/>
    </row>
    <row r="42" outlineLevel="1">
      <c r="A42" s="36">
        <v>14.0</v>
      </c>
      <c r="B42" s="36" t="s">
        <v>172</v>
      </c>
      <c r="C42" s="36" t="s">
        <v>217</v>
      </c>
      <c r="D42" s="36" t="s">
        <v>172</v>
      </c>
      <c r="E42" s="36">
        <v>1.0</v>
      </c>
      <c r="F42" s="11" t="s">
        <v>34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outlineLevel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37" t="s">
        <v>172</v>
      </c>
      <c r="B44" s="37" t="s">
        <v>225</v>
      </c>
      <c r="C44" s="37"/>
      <c r="D44" s="37"/>
      <c r="E44" s="37"/>
      <c r="F44" s="37"/>
      <c r="G44" s="3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37" t="s">
        <v>174</v>
      </c>
      <c r="B45" s="37" t="s">
        <v>225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37" t="s">
        <v>230</v>
      </c>
      <c r="B46" s="37" t="s">
        <v>225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mergeCells count="4">
    <mergeCell ref="A1:G1"/>
    <mergeCell ref="A27:G27"/>
    <mergeCell ref="H27:N27"/>
    <mergeCell ref="O27:U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4.0"/>
    <col customWidth="1" min="2" max="2" width="36.71"/>
    <col customWidth="1" min="3" max="3" width="16.0"/>
    <col customWidth="1" min="4" max="4" width="10.0"/>
    <col customWidth="1" min="5" max="5" width="12.0"/>
    <col customWidth="1" min="6" max="6" width="14.0"/>
    <col customWidth="1" min="7" max="7" width="16.0"/>
    <col customWidth="1" min="8" max="8" width="14.0"/>
    <col customWidth="1" min="9" max="9" width="16.0"/>
    <col customWidth="1" min="10" max="10" width="18.0"/>
    <col customWidth="1" min="11" max="12" width="16.0"/>
    <col customWidth="1" min="13" max="26" width="8.71"/>
  </cols>
  <sheetData>
    <row r="1">
      <c r="A1" s="1" t="s">
        <v>2</v>
      </c>
    </row>
    <row r="2">
      <c r="A2" s="3" t="s">
        <v>9</v>
      </c>
    </row>
    <row r="5">
      <c r="A5" s="6" t="s">
        <v>13</v>
      </c>
      <c r="B5" s="6" t="s">
        <v>15</v>
      </c>
      <c r="C5" s="6" t="s">
        <v>22</v>
      </c>
      <c r="D5" s="6" t="s">
        <v>19</v>
      </c>
      <c r="E5" s="6" t="s">
        <v>24</v>
      </c>
      <c r="F5" s="6" t="s">
        <v>25</v>
      </c>
      <c r="G5" s="6" t="s">
        <v>26</v>
      </c>
      <c r="H5" s="6" t="s">
        <v>28</v>
      </c>
      <c r="I5" s="6" t="s">
        <v>29</v>
      </c>
      <c r="J5" s="6" t="s">
        <v>30</v>
      </c>
      <c r="K5" s="6" t="s">
        <v>32</v>
      </c>
      <c r="L5" s="6" t="s">
        <v>35</v>
      </c>
    </row>
    <row r="6">
      <c r="A6" s="22" t="str">
        <f>'Legenda &amp; Referensi'!A6</f>
        <v>CT-001</v>
      </c>
      <c r="B6" s="23" t="str">
        <f>IFERROR(VLOOKUP(A6,'Legenda &amp; Referensi'!$A$6:$D$40,2,0),"")</f>
        <v>Micro:bit V2</v>
      </c>
      <c r="C6" s="23" t="str">
        <f>IFERROR(VLOOKUP(A6,'Legenda &amp; Referensi'!$A$6:$D$40,3,0),"")</f>
        <v>Controller</v>
      </c>
      <c r="D6" s="23" t="str">
        <f>IFERROR(VLOOKUP(A6,'Legenda &amp; Referensi'!$A$6:$D$40,4,0),"")</f>
        <v>pcs</v>
      </c>
      <c r="E6" s="23">
        <f>SUMIF('Penerimaan Barang'!$D:$D,A6,'Penerimaan Barang'!$F:$F)</f>
        <v>0</v>
      </c>
      <c r="F6" s="23">
        <f>SUMIF('Form Produksi Modul'!$E:$E,A6,'Form Produksi Modul'!$G:$G)</f>
        <v>0</v>
      </c>
      <c r="G6" s="23">
        <f>SUMIFS('Form Repair'!$H:$H,'Form Repair'!$C:$C,A6,'Form Repair'!$I:$I,"BERHASIL")</f>
        <v>0</v>
      </c>
      <c r="H6" s="23">
        <f>SUMIFS('Form Repair'!$H:$H,'Form Repair'!$C:$C,A6,'Form Repair'!$I:$I,"GAGAL")</f>
        <v>0</v>
      </c>
      <c r="I6" s="23">
        <f t="shared" ref="I6:I40" si="1">E6-F6+G6</f>
        <v>0</v>
      </c>
      <c r="J6" s="23">
        <f t="shared" ref="J6:J40" si="2">F6-G6-H6</f>
        <v>0</v>
      </c>
      <c r="K6" s="23">
        <f t="shared" ref="K6:K40" si="3">I6+J6</f>
        <v>0</v>
      </c>
      <c r="L6" s="23">
        <f>SUMIF('Form Pengembalian'!$F:$F,A6,'Form Pengembalian'!$H:$H)-(G6+H6)</f>
        <v>0</v>
      </c>
    </row>
    <row r="7">
      <c r="A7" s="22" t="str">
        <f>'Legenda &amp; Referensi'!A7</f>
        <v>CT-002</v>
      </c>
      <c r="B7" s="23" t="str">
        <f>IFERROR(VLOOKUP(A7,'Legenda &amp; Referensi'!$A$6:$D$40,2,0),"")</f>
        <v>Kabel Micro USB to Type C</v>
      </c>
      <c r="C7" s="23" t="str">
        <f>IFERROR(VLOOKUP(A7,'Legenda &amp; Referensi'!$A$6:$D$40,3,0),"")</f>
        <v>Controller</v>
      </c>
      <c r="D7" s="23" t="str">
        <f>IFERROR(VLOOKUP(A7,'Legenda &amp; Referensi'!$A$6:$D$40,4,0),"")</f>
        <v>pcs</v>
      </c>
      <c r="E7" s="23">
        <f>SUMIF('Penerimaan Barang'!$D:$D,A7,'Penerimaan Barang'!$F:$F)</f>
        <v>0</v>
      </c>
      <c r="F7" s="23">
        <f>SUMIF('Form Produksi Modul'!$E:$E,A7,'Form Produksi Modul'!$G:$G)</f>
        <v>0</v>
      </c>
      <c r="G7" s="23">
        <f>SUMIFS('Form Repair'!$H:$H,'Form Repair'!$C:$C,A7,'Form Repair'!$I:$I,"BERHASIL")</f>
        <v>0</v>
      </c>
      <c r="H7" s="23">
        <f>SUMIFS('Form Repair'!$H:$H,'Form Repair'!$C:$C,A7,'Form Repair'!$I:$I,"GAGAL")</f>
        <v>0</v>
      </c>
      <c r="I7" s="23">
        <f t="shared" si="1"/>
        <v>0</v>
      </c>
      <c r="J7" s="23">
        <f t="shared" si="2"/>
        <v>0</v>
      </c>
      <c r="K7" s="23">
        <f t="shared" si="3"/>
        <v>0</v>
      </c>
      <c r="L7" s="23">
        <f>SUMIF('Form Pengembalian'!$F:$F,A7,'Form Pengembalian'!$H:$H)-(G7+H7)</f>
        <v>0</v>
      </c>
    </row>
    <row r="8">
      <c r="A8" s="22" t="str">
        <f>'Legenda &amp; Referensi'!A8</f>
        <v>CT-003</v>
      </c>
      <c r="B8" s="23" t="str">
        <f>IFERROR(VLOOKUP(A8,'Legenda &amp; Referensi'!$A$6:$D$40,2,0),"")</f>
        <v>Micro USB Cable Data Kabel</v>
      </c>
      <c r="C8" s="23" t="str">
        <f>IFERROR(VLOOKUP(A8,'Legenda &amp; Referensi'!$A$6:$D$40,3,0),"")</f>
        <v>Controller</v>
      </c>
      <c r="D8" s="23" t="str">
        <f>IFERROR(VLOOKUP(A8,'Legenda &amp; Referensi'!$A$6:$D$40,4,0),"")</f>
        <v>pcs</v>
      </c>
      <c r="E8" s="23">
        <f>SUMIF('Penerimaan Barang'!$D:$D,A8,'Penerimaan Barang'!$F:$F)</f>
        <v>0</v>
      </c>
      <c r="F8" s="23">
        <f>SUMIF('Form Produksi Modul'!$E:$E,A8,'Form Produksi Modul'!$G:$G)</f>
        <v>0</v>
      </c>
      <c r="G8" s="23">
        <f>SUMIFS('Form Repair'!$H:$H,'Form Repair'!$C:$C,A8,'Form Repair'!$I:$I,"BERHASIL")</f>
        <v>0</v>
      </c>
      <c r="H8" s="23">
        <f>SUMIFS('Form Repair'!$H:$H,'Form Repair'!$C:$C,A8,'Form Repair'!$I:$I,"GAGAL")</f>
        <v>0</v>
      </c>
      <c r="I8" s="23">
        <f t="shared" si="1"/>
        <v>0</v>
      </c>
      <c r="J8" s="23">
        <f t="shared" si="2"/>
        <v>0</v>
      </c>
      <c r="K8" s="23">
        <f t="shared" si="3"/>
        <v>0</v>
      </c>
      <c r="L8" s="23">
        <f>SUMIF('Form Pengembalian'!$F:$F,A8,'Form Pengembalian'!$H:$H)-(G8+H8)</f>
        <v>0</v>
      </c>
    </row>
    <row r="9">
      <c r="A9" s="22" t="str">
        <f>'Legenda &amp; Referensi'!A9</f>
        <v>OP-001</v>
      </c>
      <c r="B9" s="23" t="str">
        <f>IFERROR(VLOOKUP(A9,'Legenda &amp; Referensi'!$A$6:$D$40,2,0),"")</f>
        <v>LED Merah</v>
      </c>
      <c r="C9" s="23" t="str">
        <f>IFERROR(VLOOKUP(A9,'Legenda &amp; Referensi'!$A$6:$D$40,3,0),"")</f>
        <v>Output Device</v>
      </c>
      <c r="D9" s="23" t="str">
        <f>IFERROR(VLOOKUP(A9,'Legenda &amp; Referensi'!$A$6:$D$40,4,0),"")</f>
        <v>pcs</v>
      </c>
      <c r="E9" s="23">
        <f>SUMIF('Penerimaan Barang'!$D:$D,A9,'Penerimaan Barang'!$F:$F)</f>
        <v>0</v>
      </c>
      <c r="F9" s="23">
        <f>SUMIF('Form Produksi Modul'!$E:$E,A9,'Form Produksi Modul'!$G:$G)</f>
        <v>0</v>
      </c>
      <c r="G9" s="23">
        <f>SUMIFS('Form Repair'!$H:$H,'Form Repair'!$C:$C,A9,'Form Repair'!$I:$I,"BERHASIL")</f>
        <v>0</v>
      </c>
      <c r="H9" s="23">
        <f>SUMIFS('Form Repair'!$H:$H,'Form Repair'!$C:$C,A9,'Form Repair'!$I:$I,"GAGAL")</f>
        <v>0</v>
      </c>
      <c r="I9" s="23">
        <f t="shared" si="1"/>
        <v>0</v>
      </c>
      <c r="J9" s="23">
        <f t="shared" si="2"/>
        <v>0</v>
      </c>
      <c r="K9" s="23">
        <f t="shared" si="3"/>
        <v>0</v>
      </c>
      <c r="L9" s="23">
        <f>SUMIF('Form Pengembalian'!$F:$F,A9,'Form Pengembalian'!$H:$H)-(G9+H9)</f>
        <v>0</v>
      </c>
    </row>
    <row r="10">
      <c r="A10" s="22" t="str">
        <f>'Legenda &amp; Referensi'!A10</f>
        <v>OP-002</v>
      </c>
      <c r="B10" s="23" t="str">
        <f>IFERROR(VLOOKUP(A10,'Legenda &amp; Referensi'!$A$6:$D$40,2,0),"")</f>
        <v>LED Kuning</v>
      </c>
      <c r="C10" s="23" t="str">
        <f>IFERROR(VLOOKUP(A10,'Legenda &amp; Referensi'!$A$6:$D$40,3,0),"")</f>
        <v>Output Device</v>
      </c>
      <c r="D10" s="23" t="str">
        <f>IFERROR(VLOOKUP(A10,'Legenda &amp; Referensi'!$A$6:$D$40,4,0),"")</f>
        <v>pcs</v>
      </c>
      <c r="E10" s="23">
        <f>SUMIF('Penerimaan Barang'!$D:$D,A10,'Penerimaan Barang'!$F:$F)</f>
        <v>0</v>
      </c>
      <c r="F10" s="23">
        <f>SUMIF('Form Produksi Modul'!$E:$E,A10,'Form Produksi Modul'!$G:$G)</f>
        <v>0</v>
      </c>
      <c r="G10" s="23">
        <f>SUMIFS('Form Repair'!$H:$H,'Form Repair'!$C:$C,A10,'Form Repair'!$I:$I,"BERHASIL")</f>
        <v>0</v>
      </c>
      <c r="H10" s="23">
        <f>SUMIFS('Form Repair'!$H:$H,'Form Repair'!$C:$C,A10,'Form Repair'!$I:$I,"GAGAL")</f>
        <v>0</v>
      </c>
      <c r="I10" s="23">
        <f t="shared" si="1"/>
        <v>0</v>
      </c>
      <c r="J10" s="23">
        <f t="shared" si="2"/>
        <v>0</v>
      </c>
      <c r="K10" s="23">
        <f t="shared" si="3"/>
        <v>0</v>
      </c>
      <c r="L10" s="23">
        <f>SUMIF('Form Pengembalian'!$F:$F,A10,'Form Pengembalian'!$H:$H)-(G10+H10)</f>
        <v>0</v>
      </c>
    </row>
    <row r="11">
      <c r="A11" s="22" t="str">
        <f>'Legenda &amp; Referensi'!A11</f>
        <v>OP-003</v>
      </c>
      <c r="B11" s="23" t="str">
        <f>IFERROR(VLOOKUP(A11,'Legenda &amp; Referensi'!$A$6:$D$40,2,0),"")</f>
        <v>LED Hijau</v>
      </c>
      <c r="C11" s="23" t="str">
        <f>IFERROR(VLOOKUP(A11,'Legenda &amp; Referensi'!$A$6:$D$40,3,0),"")</f>
        <v>Output Device</v>
      </c>
      <c r="D11" s="23" t="str">
        <f>IFERROR(VLOOKUP(A11,'Legenda &amp; Referensi'!$A$6:$D$40,4,0),"")</f>
        <v>pcs</v>
      </c>
      <c r="E11" s="23">
        <f>SUMIF('Penerimaan Barang'!$D:$D,A11,'Penerimaan Barang'!$F:$F)</f>
        <v>0</v>
      </c>
      <c r="F11" s="23">
        <f>SUMIF('Form Produksi Modul'!$E:$E,A11,'Form Produksi Modul'!$G:$G)</f>
        <v>0</v>
      </c>
      <c r="G11" s="23">
        <f>SUMIFS('Form Repair'!$H:$H,'Form Repair'!$C:$C,A11,'Form Repair'!$I:$I,"BERHASIL")</f>
        <v>0</v>
      </c>
      <c r="H11" s="23">
        <f>SUMIFS('Form Repair'!$H:$H,'Form Repair'!$C:$C,A11,'Form Repair'!$I:$I,"GAGAL")</f>
        <v>0</v>
      </c>
      <c r="I11" s="23">
        <f t="shared" si="1"/>
        <v>0</v>
      </c>
      <c r="J11" s="23">
        <f t="shared" si="2"/>
        <v>0</v>
      </c>
      <c r="K11" s="23">
        <f t="shared" si="3"/>
        <v>0</v>
      </c>
      <c r="L11" s="23">
        <f>SUMIF('Form Pengembalian'!$F:$F,A11,'Form Pengembalian'!$H:$H)-(G11+H11)</f>
        <v>0</v>
      </c>
    </row>
    <row r="12">
      <c r="A12" s="22" t="str">
        <f>'Legenda &amp; Referensi'!A12</f>
        <v>SN-001</v>
      </c>
      <c r="B12" s="23" t="str">
        <f>IFERROR(VLOOKUP(A12,'Legenda &amp; Referensi'!$A$6:$D$40,2,0),"")</f>
        <v>Sensor Ultrasonik HC-SR04</v>
      </c>
      <c r="C12" s="23" t="str">
        <f>IFERROR(VLOOKUP(A12,'Legenda &amp; Referensi'!$A$6:$D$40,3,0),"")</f>
        <v>Sensor</v>
      </c>
      <c r="D12" s="23" t="str">
        <f>IFERROR(VLOOKUP(A12,'Legenda &amp; Referensi'!$A$6:$D$40,4,0),"")</f>
        <v>pcs</v>
      </c>
      <c r="E12" s="23">
        <f>SUMIF('Penerimaan Barang'!$D:$D,A12,'Penerimaan Barang'!$F:$F)</f>
        <v>0</v>
      </c>
      <c r="F12" s="23">
        <f>SUMIF('Form Produksi Modul'!$E:$E,A12,'Form Produksi Modul'!$G:$G)</f>
        <v>0</v>
      </c>
      <c r="G12" s="23">
        <f>SUMIFS('Form Repair'!$H:$H,'Form Repair'!$C:$C,A12,'Form Repair'!$I:$I,"BERHASIL")</f>
        <v>0</v>
      </c>
      <c r="H12" s="23">
        <f>SUMIFS('Form Repair'!$H:$H,'Form Repair'!$C:$C,A12,'Form Repair'!$I:$I,"GAGAL")</f>
        <v>0</v>
      </c>
      <c r="I12" s="23">
        <f t="shared" si="1"/>
        <v>0</v>
      </c>
      <c r="J12" s="23">
        <f t="shared" si="2"/>
        <v>0</v>
      </c>
      <c r="K12" s="23">
        <f t="shared" si="3"/>
        <v>0</v>
      </c>
      <c r="L12" s="23">
        <f>SUMIF('Form Pengembalian'!$F:$F,A12,'Form Pengembalian'!$H:$H)-(G12+H12)</f>
        <v>0</v>
      </c>
    </row>
    <row r="13">
      <c r="A13" s="22" t="str">
        <f>'Legenda &amp; Referensi'!A13</f>
        <v>MT-001</v>
      </c>
      <c r="B13" s="23" t="str">
        <f>IFERROR(VLOOKUP(A13,'Legenda &amp; Referensi'!$A$6:$D$40,2,0),"")</f>
        <v>Servo SG90 180°</v>
      </c>
      <c r="C13" s="23" t="str">
        <f>IFERROR(VLOOKUP(A13,'Legenda &amp; Referensi'!$A$6:$D$40,3,0),"")</f>
        <v>Motion</v>
      </c>
      <c r="D13" s="23" t="str">
        <f>IFERROR(VLOOKUP(A13,'Legenda &amp; Referensi'!$A$6:$D$40,4,0),"")</f>
        <v>pcs</v>
      </c>
      <c r="E13" s="23">
        <f>SUMIF('Penerimaan Barang'!$D:$D,A13,'Penerimaan Barang'!$F:$F)</f>
        <v>0</v>
      </c>
      <c r="F13" s="23">
        <f>SUMIF('Form Produksi Modul'!$E:$E,A13,'Form Produksi Modul'!$G:$G)</f>
        <v>0</v>
      </c>
      <c r="G13" s="23">
        <f>SUMIFS('Form Repair'!$H:$H,'Form Repair'!$C:$C,A13,'Form Repair'!$I:$I,"BERHASIL")</f>
        <v>0</v>
      </c>
      <c r="H13" s="23">
        <f>SUMIFS('Form Repair'!$H:$H,'Form Repair'!$C:$C,A13,'Form Repair'!$I:$I,"GAGAL")</f>
        <v>0</v>
      </c>
      <c r="I13" s="23">
        <f t="shared" si="1"/>
        <v>0</v>
      </c>
      <c r="J13" s="23">
        <f t="shared" si="2"/>
        <v>0</v>
      </c>
      <c r="K13" s="23">
        <f t="shared" si="3"/>
        <v>0</v>
      </c>
      <c r="L13" s="23">
        <f>SUMIF('Form Pengembalian'!$F:$F,A13,'Form Pengembalian'!$H:$H)-(G13+H13)</f>
        <v>0</v>
      </c>
    </row>
    <row r="14">
      <c r="A14" s="22" t="str">
        <f>'Legenda &amp; Referensi'!A14</f>
        <v>MT-002</v>
      </c>
      <c r="B14" s="23" t="str">
        <f>IFERROR(VLOOKUP(A14,'Legenda &amp; Referensi'!$A$6:$D$40,2,0),"")</f>
        <v>Servo SG90 360°</v>
      </c>
      <c r="C14" s="23" t="str">
        <f>IFERROR(VLOOKUP(A14,'Legenda &amp; Referensi'!$A$6:$D$40,3,0),"")</f>
        <v>Motion</v>
      </c>
      <c r="D14" s="23" t="str">
        <f>IFERROR(VLOOKUP(A14,'Legenda &amp; Referensi'!$A$6:$D$40,4,0),"")</f>
        <v>pcs</v>
      </c>
      <c r="E14" s="23">
        <f>SUMIF('Penerimaan Barang'!$D:$D,A14,'Penerimaan Barang'!$F:$F)</f>
        <v>0</v>
      </c>
      <c r="F14" s="23">
        <f>SUMIF('Form Produksi Modul'!$E:$E,A14,'Form Produksi Modul'!$G:$G)</f>
        <v>0</v>
      </c>
      <c r="G14" s="23">
        <f>SUMIFS('Form Repair'!$H:$H,'Form Repair'!$C:$C,A14,'Form Repair'!$I:$I,"BERHASIL")</f>
        <v>0</v>
      </c>
      <c r="H14" s="23">
        <f>SUMIFS('Form Repair'!$H:$H,'Form Repair'!$C:$C,A14,'Form Repair'!$I:$I,"GAGAL")</f>
        <v>0</v>
      </c>
      <c r="I14" s="23">
        <f t="shared" si="1"/>
        <v>0</v>
      </c>
      <c r="J14" s="23">
        <f t="shared" si="2"/>
        <v>0</v>
      </c>
      <c r="K14" s="23">
        <f t="shared" si="3"/>
        <v>0</v>
      </c>
      <c r="L14" s="23">
        <f>SUMIF('Form Pengembalian'!$F:$F,A14,'Form Pengembalian'!$H:$H)-(G14+H14)</f>
        <v>0</v>
      </c>
    </row>
    <row r="15">
      <c r="A15" s="22" t="str">
        <f>'Legenda &amp; Referensi'!A15</f>
        <v>MT-003</v>
      </c>
      <c r="B15" s="23" t="str">
        <f>IFERROR(VLOOKUP(A15,'Legenda &amp; Referensi'!$A$6:$D$40,2,0),"")</f>
        <v>Servo MG996R</v>
      </c>
      <c r="C15" s="23" t="str">
        <f>IFERROR(VLOOKUP(A15,'Legenda &amp; Referensi'!$A$6:$D$40,3,0),"")</f>
        <v>Motion</v>
      </c>
      <c r="D15" s="23" t="str">
        <f>IFERROR(VLOOKUP(A15,'Legenda &amp; Referensi'!$A$6:$D$40,4,0),"")</f>
        <v>pcs</v>
      </c>
      <c r="E15" s="23">
        <f>SUMIF('Penerimaan Barang'!$D:$D,A15,'Penerimaan Barang'!$F:$F)</f>
        <v>0</v>
      </c>
      <c r="F15" s="23">
        <f>SUMIF('Form Produksi Modul'!$E:$E,A15,'Form Produksi Modul'!$G:$G)</f>
        <v>0</v>
      </c>
      <c r="G15" s="23">
        <f>SUMIFS('Form Repair'!$H:$H,'Form Repair'!$C:$C,A15,'Form Repair'!$I:$I,"BERHASIL")</f>
        <v>0</v>
      </c>
      <c r="H15" s="23">
        <f>SUMIFS('Form Repair'!$H:$H,'Form Repair'!$C:$C,A15,'Form Repair'!$I:$I,"GAGAL")</f>
        <v>0</v>
      </c>
      <c r="I15" s="23">
        <f t="shared" si="1"/>
        <v>0</v>
      </c>
      <c r="J15" s="23">
        <f t="shared" si="2"/>
        <v>0</v>
      </c>
      <c r="K15" s="23">
        <f t="shared" si="3"/>
        <v>0</v>
      </c>
      <c r="L15" s="23">
        <f>SUMIF('Form Pengembalian'!$F:$F,A15,'Form Pengembalian'!$H:$H)-(G15+H15)</f>
        <v>0</v>
      </c>
    </row>
    <row r="16">
      <c r="A16" s="22" t="str">
        <f>'Legenda &amp; Referensi'!A16</f>
        <v>PW-001</v>
      </c>
      <c r="B16" s="23" t="str">
        <f>IFERROR(VLOOKUP(A16,'Legenda &amp; Referensi'!$A$6:$D$40,2,0),"")</f>
        <v>Baterai AAA</v>
      </c>
      <c r="C16" s="23" t="str">
        <f>IFERROR(VLOOKUP(A16,'Legenda &amp; Referensi'!$A$6:$D$40,3,0),"")</f>
        <v>Power</v>
      </c>
      <c r="D16" s="23" t="str">
        <f>IFERROR(VLOOKUP(A16,'Legenda &amp; Referensi'!$A$6:$D$40,4,0),"")</f>
        <v>pcs</v>
      </c>
      <c r="E16" s="23">
        <f>SUMIF('Penerimaan Barang'!$D:$D,A16,'Penerimaan Barang'!$F:$F)</f>
        <v>0</v>
      </c>
      <c r="F16" s="23">
        <f>SUMIF('Form Produksi Modul'!$E:$E,A16,'Form Produksi Modul'!$G:$G)</f>
        <v>0</v>
      </c>
      <c r="G16" s="23">
        <f>SUMIFS('Form Repair'!$H:$H,'Form Repair'!$C:$C,A16,'Form Repair'!$I:$I,"BERHASIL")</f>
        <v>0</v>
      </c>
      <c r="H16" s="23">
        <f>SUMIFS('Form Repair'!$H:$H,'Form Repair'!$C:$C,A16,'Form Repair'!$I:$I,"GAGAL")</f>
        <v>0</v>
      </c>
      <c r="I16" s="23">
        <f t="shared" si="1"/>
        <v>0</v>
      </c>
      <c r="J16" s="23">
        <f t="shared" si="2"/>
        <v>0</v>
      </c>
      <c r="K16" s="23">
        <f t="shared" si="3"/>
        <v>0</v>
      </c>
      <c r="L16" s="23">
        <f>SUMIF('Form Pengembalian'!$F:$F,A16,'Form Pengembalian'!$H:$H)-(G16+H16)</f>
        <v>0</v>
      </c>
    </row>
    <row r="17">
      <c r="A17" s="22" t="str">
        <f>'Legenda &amp; Referensi'!A17</f>
        <v>PW-002</v>
      </c>
      <c r="B17" s="23" t="str">
        <f>IFERROR(VLOOKUP(A17,'Legenda &amp; Referensi'!$A$6:$D$40,2,0),"")</f>
        <v>Battery Holder 4xAAA</v>
      </c>
      <c r="C17" s="23" t="str">
        <f>IFERROR(VLOOKUP(A17,'Legenda &amp; Referensi'!$A$6:$D$40,3,0),"")</f>
        <v>Power</v>
      </c>
      <c r="D17" s="23" t="str">
        <f>IFERROR(VLOOKUP(A17,'Legenda &amp; Referensi'!$A$6:$D$40,4,0),"")</f>
        <v>pcs</v>
      </c>
      <c r="E17" s="23">
        <f>SUMIF('Penerimaan Barang'!$D:$D,A17,'Penerimaan Barang'!$F:$F)</f>
        <v>0</v>
      </c>
      <c r="F17" s="23">
        <f>SUMIF('Form Produksi Modul'!$E:$E,A17,'Form Produksi Modul'!$G:$G)</f>
        <v>0</v>
      </c>
      <c r="G17" s="23">
        <f>SUMIFS('Form Repair'!$H:$H,'Form Repair'!$C:$C,A17,'Form Repair'!$I:$I,"BERHASIL")</f>
        <v>0</v>
      </c>
      <c r="H17" s="23">
        <f>SUMIFS('Form Repair'!$H:$H,'Form Repair'!$C:$C,A17,'Form Repair'!$I:$I,"GAGAL")</f>
        <v>0</v>
      </c>
      <c r="I17" s="23">
        <f t="shared" si="1"/>
        <v>0</v>
      </c>
      <c r="J17" s="23">
        <f t="shared" si="2"/>
        <v>0</v>
      </c>
      <c r="K17" s="23">
        <f t="shared" si="3"/>
        <v>0</v>
      </c>
      <c r="L17" s="23">
        <f>SUMIF('Form Pengembalian'!$F:$F,A17,'Form Pengembalian'!$H:$H)-(G17+H17)</f>
        <v>0</v>
      </c>
    </row>
    <row r="18">
      <c r="A18" s="22" t="str">
        <f>'Legenda &amp; Referensi'!A18</f>
        <v>CN-001</v>
      </c>
      <c r="B18" s="23" t="str">
        <f>IFERROR(VLOOKUP(A18,'Legenda &amp; Referensi'!$A$6:$D$40,2,0),"")</f>
        <v>Breadboard Mini (170 TP)</v>
      </c>
      <c r="C18" s="23" t="str">
        <f>IFERROR(VLOOKUP(A18,'Legenda &amp; Referensi'!$A$6:$D$40,3,0),"")</f>
        <v>Connection</v>
      </c>
      <c r="D18" s="23" t="str">
        <f>IFERROR(VLOOKUP(A18,'Legenda &amp; Referensi'!$A$6:$D$40,4,0),"")</f>
        <v>pcs</v>
      </c>
      <c r="E18" s="23">
        <f>SUMIF('Penerimaan Barang'!$D:$D,A18,'Penerimaan Barang'!$F:$F)</f>
        <v>0</v>
      </c>
      <c r="F18" s="23">
        <f>SUMIF('Form Produksi Modul'!$E:$E,A18,'Form Produksi Modul'!$G:$G)</f>
        <v>0</v>
      </c>
      <c r="G18" s="23">
        <f>SUMIFS('Form Repair'!$H:$H,'Form Repair'!$C:$C,A18,'Form Repair'!$I:$I,"BERHASIL")</f>
        <v>0</v>
      </c>
      <c r="H18" s="23">
        <f>SUMIFS('Form Repair'!$H:$H,'Form Repair'!$C:$C,A18,'Form Repair'!$I:$I,"GAGAL")</f>
        <v>0</v>
      </c>
      <c r="I18" s="23">
        <f t="shared" si="1"/>
        <v>0</v>
      </c>
      <c r="J18" s="23">
        <f t="shared" si="2"/>
        <v>0</v>
      </c>
      <c r="K18" s="23">
        <f t="shared" si="3"/>
        <v>0</v>
      </c>
      <c r="L18" s="23">
        <f>SUMIF('Form Pengembalian'!$F:$F,A18,'Form Pengembalian'!$H:$H)-(G18+H18)</f>
        <v>0</v>
      </c>
    </row>
    <row r="19">
      <c r="A19" s="22" t="str">
        <f>'Legenda &amp; Referensi'!A19</f>
        <v>CN-002</v>
      </c>
      <c r="B19" s="23" t="str">
        <f>IFERROR(VLOOKUP(A19,'Legenda &amp; Referensi'!$A$6:$D$40,2,0),"")</f>
        <v>Kabel Jumper Male to Male</v>
      </c>
      <c r="C19" s="23" t="str">
        <f>IFERROR(VLOOKUP(A19,'Legenda &amp; Referensi'!$A$6:$D$40,3,0),"")</f>
        <v>Connection</v>
      </c>
      <c r="D19" s="23" t="str">
        <f>IFERROR(VLOOKUP(A19,'Legenda &amp; Referensi'!$A$6:$D$40,4,0),"")</f>
        <v>pcs</v>
      </c>
      <c r="E19" s="23">
        <f>SUMIF('Penerimaan Barang'!$D:$D,A19,'Penerimaan Barang'!$F:$F)</f>
        <v>0</v>
      </c>
      <c r="F19" s="23">
        <f>SUMIF('Form Produksi Modul'!$E:$E,A19,'Form Produksi Modul'!$G:$G)</f>
        <v>0</v>
      </c>
      <c r="G19" s="23">
        <f>SUMIFS('Form Repair'!$H:$H,'Form Repair'!$C:$C,A19,'Form Repair'!$I:$I,"BERHASIL")</f>
        <v>0</v>
      </c>
      <c r="H19" s="23">
        <f>SUMIFS('Form Repair'!$H:$H,'Form Repair'!$C:$C,A19,'Form Repair'!$I:$I,"GAGAL")</f>
        <v>0</v>
      </c>
      <c r="I19" s="23">
        <f t="shared" si="1"/>
        <v>0</v>
      </c>
      <c r="J19" s="23">
        <f t="shared" si="2"/>
        <v>0</v>
      </c>
      <c r="K19" s="23">
        <f t="shared" si="3"/>
        <v>0</v>
      </c>
      <c r="L19" s="23">
        <f>SUMIF('Form Pengembalian'!$F:$F,A19,'Form Pengembalian'!$H:$H)-(G19+H19)</f>
        <v>0</v>
      </c>
    </row>
    <row r="20">
      <c r="A20" s="22" t="str">
        <f>'Legenda &amp; Referensi'!A20</f>
        <v>CN-003</v>
      </c>
      <c r="B20" s="23" t="str">
        <f>IFERROR(VLOOKUP(A20,'Legenda &amp; Referensi'!$A$6:$D$40,2,0),"")</f>
        <v>Kabel Jumper Female to Female</v>
      </c>
      <c r="C20" s="23" t="str">
        <f>IFERROR(VLOOKUP(A20,'Legenda &amp; Referensi'!$A$6:$D$40,3,0),"")</f>
        <v>Connection</v>
      </c>
      <c r="D20" s="23" t="str">
        <f>IFERROR(VLOOKUP(A20,'Legenda &amp; Referensi'!$A$6:$D$40,4,0),"")</f>
        <v>pcs</v>
      </c>
      <c r="E20" s="23">
        <f>SUMIF('Penerimaan Barang'!$D:$D,A20,'Penerimaan Barang'!$F:$F)</f>
        <v>0</v>
      </c>
      <c r="F20" s="23">
        <f>SUMIF('Form Produksi Modul'!$E:$E,A20,'Form Produksi Modul'!$G:$G)</f>
        <v>0</v>
      </c>
      <c r="G20" s="23">
        <f>SUMIFS('Form Repair'!$H:$H,'Form Repair'!$C:$C,A20,'Form Repair'!$I:$I,"BERHASIL")</f>
        <v>0</v>
      </c>
      <c r="H20" s="23">
        <f>SUMIFS('Form Repair'!$H:$H,'Form Repair'!$C:$C,A20,'Form Repair'!$I:$I,"GAGAL")</f>
        <v>0</v>
      </c>
      <c r="I20" s="23">
        <f t="shared" si="1"/>
        <v>0</v>
      </c>
      <c r="J20" s="23">
        <f t="shared" si="2"/>
        <v>0</v>
      </c>
      <c r="K20" s="23">
        <f t="shared" si="3"/>
        <v>0</v>
      </c>
      <c r="L20" s="23">
        <f>SUMIF('Form Pengembalian'!$F:$F,A20,'Form Pengembalian'!$H:$H)-(G20+H20)</f>
        <v>0</v>
      </c>
    </row>
    <row r="21" ht="15.75" customHeight="1">
      <c r="A21" s="22" t="str">
        <f>'Legenda &amp; Referensi'!A21</f>
        <v>CN-004</v>
      </c>
      <c r="B21" s="23" t="str">
        <f>IFERROR(VLOOKUP(A21,'Legenda &amp; Referensi'!$A$6:$D$40,2,0),"")</f>
        <v>Kabel Jumper Male to Female</v>
      </c>
      <c r="C21" s="23" t="str">
        <f>IFERROR(VLOOKUP(A21,'Legenda &amp; Referensi'!$A$6:$D$40,3,0),"")</f>
        <v>Connection</v>
      </c>
      <c r="D21" s="23" t="str">
        <f>IFERROR(VLOOKUP(A21,'Legenda &amp; Referensi'!$A$6:$D$40,4,0),"")</f>
        <v>pcs</v>
      </c>
      <c r="E21" s="23">
        <f>SUMIF('Penerimaan Barang'!$D:$D,A21,'Penerimaan Barang'!$F:$F)</f>
        <v>0</v>
      </c>
      <c r="F21" s="23">
        <f>SUMIF('Form Produksi Modul'!$E:$E,A21,'Form Produksi Modul'!$G:$G)</f>
        <v>0</v>
      </c>
      <c r="G21" s="23">
        <f>SUMIFS('Form Repair'!$H:$H,'Form Repair'!$C:$C,A21,'Form Repair'!$I:$I,"BERHASIL")</f>
        <v>0</v>
      </c>
      <c r="H21" s="23">
        <f>SUMIFS('Form Repair'!$H:$H,'Form Repair'!$C:$C,A21,'Form Repair'!$I:$I,"GAGAL")</f>
        <v>0</v>
      </c>
      <c r="I21" s="23">
        <f t="shared" si="1"/>
        <v>0</v>
      </c>
      <c r="J21" s="23">
        <f t="shared" si="2"/>
        <v>0</v>
      </c>
      <c r="K21" s="23">
        <f t="shared" si="3"/>
        <v>0</v>
      </c>
      <c r="L21" s="23">
        <f>SUMIF('Form Pengembalian'!$F:$F,A21,'Form Pengembalian'!$H:$H)-(G21+H21)</f>
        <v>0</v>
      </c>
    </row>
    <row r="22" ht="15.75" customHeight="1">
      <c r="A22" s="22" t="str">
        <f>'Legenda &amp; Referensi'!A22</f>
        <v>CN-005</v>
      </c>
      <c r="B22" s="23" t="str">
        <f>IFERROR(VLOOKUP(A22,'Legenda &amp; Referensi'!$A$6:$D$40,2,0),"")</f>
        <v>Kabel Aligator</v>
      </c>
      <c r="C22" s="23" t="str">
        <f>IFERROR(VLOOKUP(A22,'Legenda &amp; Referensi'!$A$6:$D$40,3,0),"")</f>
        <v>Connection</v>
      </c>
      <c r="D22" s="23" t="str">
        <f>IFERROR(VLOOKUP(A22,'Legenda &amp; Referensi'!$A$6:$D$40,4,0),"")</f>
        <v>pcs</v>
      </c>
      <c r="E22" s="23">
        <f>SUMIF('Penerimaan Barang'!$D:$D,A22,'Penerimaan Barang'!$F:$F)</f>
        <v>0</v>
      </c>
      <c r="F22" s="23">
        <f>SUMIF('Form Produksi Modul'!$E:$E,A22,'Form Produksi Modul'!$G:$G)</f>
        <v>0</v>
      </c>
      <c r="G22" s="23">
        <f>SUMIFS('Form Repair'!$H:$H,'Form Repair'!$C:$C,A22,'Form Repair'!$I:$I,"BERHASIL")</f>
        <v>0</v>
      </c>
      <c r="H22" s="23">
        <f>SUMIFS('Form Repair'!$H:$H,'Form Repair'!$C:$C,A22,'Form Repair'!$I:$I,"GAGAL")</f>
        <v>0</v>
      </c>
      <c r="I22" s="23">
        <f t="shared" si="1"/>
        <v>0</v>
      </c>
      <c r="J22" s="23">
        <f t="shared" si="2"/>
        <v>0</v>
      </c>
      <c r="K22" s="23">
        <f t="shared" si="3"/>
        <v>0</v>
      </c>
      <c r="L22" s="23">
        <f>SUMIF('Form Pengembalian'!$F:$F,A22,'Form Pengembalian'!$H:$H)-(G22+H22)</f>
        <v>0</v>
      </c>
    </row>
    <row r="23" ht="15.75" customHeight="1">
      <c r="A23" s="22" t="str">
        <f>'Legenda &amp; Referensi'!A23</f>
        <v>CN-006</v>
      </c>
      <c r="B23" s="23" t="str">
        <f>IFERROR(VLOOKUP(A23,'Legenda &amp; Referensi'!$A$6:$D$40,2,0),"")</f>
        <v>Resistor 100 Ohm</v>
      </c>
      <c r="C23" s="23" t="str">
        <f>IFERROR(VLOOKUP(A23,'Legenda &amp; Referensi'!$A$6:$D$40,3,0),"")</f>
        <v>Connection</v>
      </c>
      <c r="D23" s="23" t="str">
        <f>IFERROR(VLOOKUP(A23,'Legenda &amp; Referensi'!$A$6:$D$40,4,0),"")</f>
        <v>pcs</v>
      </c>
      <c r="E23" s="23">
        <f>SUMIF('Penerimaan Barang'!$D:$D,A23,'Penerimaan Barang'!$F:$F)</f>
        <v>0</v>
      </c>
      <c r="F23" s="23">
        <f>SUMIF('Form Produksi Modul'!$E:$E,A23,'Form Produksi Modul'!$G:$G)</f>
        <v>0</v>
      </c>
      <c r="G23" s="23">
        <f>SUMIFS('Form Repair'!$H:$H,'Form Repair'!$C:$C,A23,'Form Repair'!$I:$I,"BERHASIL")</f>
        <v>0</v>
      </c>
      <c r="H23" s="23">
        <f>SUMIFS('Form Repair'!$H:$H,'Form Repair'!$C:$C,A23,'Form Repair'!$I:$I,"GAGAL")</f>
        <v>0</v>
      </c>
      <c r="I23" s="23">
        <f t="shared" si="1"/>
        <v>0</v>
      </c>
      <c r="J23" s="23">
        <f t="shared" si="2"/>
        <v>0</v>
      </c>
      <c r="K23" s="23">
        <f t="shared" si="3"/>
        <v>0</v>
      </c>
      <c r="L23" s="23">
        <f>SUMIF('Form Pengembalian'!$F:$F,A23,'Form Pengembalian'!$H:$H)-(G23+H23)</f>
        <v>0</v>
      </c>
    </row>
    <row r="24" ht="15.75" customHeight="1">
      <c r="A24" s="22" t="str">
        <f>'Legenda &amp; Referensi'!A24</f>
        <v>CN-007</v>
      </c>
      <c r="B24" s="23" t="str">
        <f>IFERROR(VLOOKUP(A24,'Legenda &amp; Referensi'!$A$6:$D$40,2,0),"")</f>
        <v>Blok Konektor (CH-2 Push Connector)</v>
      </c>
      <c r="C24" s="23" t="str">
        <f>IFERROR(VLOOKUP(A24,'Legenda &amp; Referensi'!$A$6:$D$40,3,0),"")</f>
        <v>Connection</v>
      </c>
      <c r="D24" s="23" t="str">
        <f>IFERROR(VLOOKUP(A24,'Legenda &amp; Referensi'!$A$6:$D$40,4,0),"")</f>
        <v>pcs</v>
      </c>
      <c r="E24" s="23">
        <f>SUMIF('Penerimaan Barang'!$D:$D,A24,'Penerimaan Barang'!$F:$F)</f>
        <v>0</v>
      </c>
      <c r="F24" s="23">
        <f>SUMIF('Form Produksi Modul'!$E:$E,A24,'Form Produksi Modul'!$G:$G)</f>
        <v>0</v>
      </c>
      <c r="G24" s="23">
        <f>SUMIFS('Form Repair'!$H:$H,'Form Repair'!$C:$C,A24,'Form Repair'!$I:$I,"BERHASIL")</f>
        <v>0</v>
      </c>
      <c r="H24" s="23">
        <f>SUMIFS('Form Repair'!$H:$H,'Form Repair'!$C:$C,A24,'Form Repair'!$I:$I,"GAGAL")</f>
        <v>0</v>
      </c>
      <c r="I24" s="23">
        <f t="shared" si="1"/>
        <v>0</v>
      </c>
      <c r="J24" s="23">
        <f t="shared" si="2"/>
        <v>0</v>
      </c>
      <c r="K24" s="23">
        <f t="shared" si="3"/>
        <v>0</v>
      </c>
      <c r="L24" s="23">
        <f>SUMIF('Form Pengembalian'!$F:$F,A24,'Form Pengembalian'!$H:$H)-(G24+H24)</f>
        <v>0</v>
      </c>
    </row>
    <row r="25" ht="15.75" customHeight="1">
      <c r="A25" s="22" t="str">
        <f>'Legenda &amp; Referensi'!A25</f>
        <v>MC-001</v>
      </c>
      <c r="B25" s="23" t="str">
        <f>IFERROR(VLOOKUP(A25,'Legenda &amp; Referensi'!$A$6:$D$40,2,0),"")</f>
        <v>Brick</v>
      </c>
      <c r="C25" s="23" t="str">
        <f>IFERROR(VLOOKUP(A25,'Legenda &amp; Referensi'!$A$6:$D$40,3,0),"")</f>
        <v>Mechanical</v>
      </c>
      <c r="D25" s="23" t="str">
        <f>IFERROR(VLOOKUP(A25,'Legenda &amp; Referensi'!$A$6:$D$40,4,0),"")</f>
        <v>pcs</v>
      </c>
      <c r="E25" s="23">
        <f>SUMIF('Penerimaan Barang'!$D:$D,A25,'Penerimaan Barang'!$F:$F)</f>
        <v>0</v>
      </c>
      <c r="F25" s="23">
        <f>SUMIF('Form Produksi Modul'!$E:$E,A25,'Form Produksi Modul'!$G:$G)</f>
        <v>0</v>
      </c>
      <c r="G25" s="23">
        <f>SUMIFS('Form Repair'!$H:$H,'Form Repair'!$C:$C,A25,'Form Repair'!$I:$I,"BERHASIL")</f>
        <v>0</v>
      </c>
      <c r="H25" s="23">
        <f>SUMIFS('Form Repair'!$H:$H,'Form Repair'!$C:$C,A25,'Form Repair'!$I:$I,"GAGAL")</f>
        <v>0</v>
      </c>
      <c r="I25" s="23">
        <f t="shared" si="1"/>
        <v>0</v>
      </c>
      <c r="J25" s="23">
        <f t="shared" si="2"/>
        <v>0</v>
      </c>
      <c r="K25" s="23">
        <f t="shared" si="3"/>
        <v>0</v>
      </c>
      <c r="L25" s="23">
        <f>SUMIF('Form Pengembalian'!$F:$F,A25,'Form Pengembalian'!$H:$H)-(G25+H25)</f>
        <v>0</v>
      </c>
    </row>
    <row r="26" ht="15.75" customHeight="1">
      <c r="A26" s="22" t="str">
        <f>'Legenda &amp; Referensi'!A26</f>
        <v>MC-002</v>
      </c>
      <c r="B26" s="23" t="str">
        <f>IFERROR(VLOOKUP(A26,'Legenda &amp; Referensi'!$A$6:$D$40,2,0),"")</f>
        <v>Brick Papan</v>
      </c>
      <c r="C26" s="23" t="str">
        <f>IFERROR(VLOOKUP(A26,'Legenda &amp; Referensi'!$A$6:$D$40,3,0),"")</f>
        <v>Mechanical</v>
      </c>
      <c r="D26" s="23" t="str">
        <f>IFERROR(VLOOKUP(A26,'Legenda &amp; Referensi'!$A$6:$D$40,4,0),"")</f>
        <v>pcs</v>
      </c>
      <c r="E26" s="23">
        <f>SUMIF('Penerimaan Barang'!$D:$D,A26,'Penerimaan Barang'!$F:$F)</f>
        <v>0</v>
      </c>
      <c r="F26" s="23">
        <f>SUMIF('Form Produksi Modul'!$E:$E,A26,'Form Produksi Modul'!$G:$G)</f>
        <v>0</v>
      </c>
      <c r="G26" s="23">
        <f>SUMIFS('Form Repair'!$H:$H,'Form Repair'!$C:$C,A26,'Form Repair'!$I:$I,"BERHASIL")</f>
        <v>0</v>
      </c>
      <c r="H26" s="23">
        <f>SUMIFS('Form Repair'!$H:$H,'Form Repair'!$C:$C,A26,'Form Repair'!$I:$I,"GAGAL")</f>
        <v>0</v>
      </c>
      <c r="I26" s="23">
        <f t="shared" si="1"/>
        <v>0</v>
      </c>
      <c r="J26" s="23">
        <f t="shared" si="2"/>
        <v>0</v>
      </c>
      <c r="K26" s="23">
        <f t="shared" si="3"/>
        <v>0</v>
      </c>
      <c r="L26" s="23">
        <f>SUMIF('Form Pengembalian'!$F:$F,A26,'Form Pengembalian'!$H:$H)-(G26+H26)</f>
        <v>0</v>
      </c>
    </row>
    <row r="27" ht="15.75" customHeight="1">
      <c r="A27" s="22" t="str">
        <f>'Legenda &amp; Referensi'!A27</f>
        <v>MC-003</v>
      </c>
      <c r="B27" s="23" t="str">
        <f>IFERROR(VLOOKUP(A27,'Legenda &amp; Referensi'!$A$6:$D$40,2,0),"")</f>
        <v>Brick Separator</v>
      </c>
      <c r="C27" s="23" t="str">
        <f>IFERROR(VLOOKUP(A27,'Legenda &amp; Referensi'!$A$6:$D$40,3,0),"")</f>
        <v>Mechanical</v>
      </c>
      <c r="D27" s="23" t="str">
        <f>IFERROR(VLOOKUP(A27,'Legenda &amp; Referensi'!$A$6:$D$40,4,0),"")</f>
        <v>pcs</v>
      </c>
      <c r="E27" s="23">
        <f>SUMIF('Penerimaan Barang'!$D:$D,A27,'Penerimaan Barang'!$F:$F)</f>
        <v>0</v>
      </c>
      <c r="F27" s="23">
        <f>SUMIF('Form Produksi Modul'!$E:$E,A27,'Form Produksi Modul'!$G:$G)</f>
        <v>0</v>
      </c>
      <c r="G27" s="23">
        <f>SUMIFS('Form Repair'!$H:$H,'Form Repair'!$C:$C,A27,'Form Repair'!$I:$I,"BERHASIL")</f>
        <v>0</v>
      </c>
      <c r="H27" s="23">
        <f>SUMIFS('Form Repair'!$H:$H,'Form Repair'!$C:$C,A27,'Form Repair'!$I:$I,"GAGAL")</f>
        <v>0</v>
      </c>
      <c r="I27" s="23">
        <f t="shared" si="1"/>
        <v>0</v>
      </c>
      <c r="J27" s="23">
        <f t="shared" si="2"/>
        <v>0</v>
      </c>
      <c r="K27" s="23">
        <f t="shared" si="3"/>
        <v>0</v>
      </c>
      <c r="L27" s="23">
        <f>SUMIF('Form Pengembalian'!$F:$F,A27,'Form Pengembalian'!$H:$H)-(G27+H27)</f>
        <v>0</v>
      </c>
    </row>
    <row r="28" ht="15.75" customHeight="1">
      <c r="A28" s="22" t="str">
        <f>'Legenda &amp; Referensi'!A28</f>
        <v>MC-004</v>
      </c>
      <c r="B28" s="23" t="str">
        <f>IFERROR(VLOOKUP(A28,'Legenda &amp; Referensi'!$A$6:$D$40,2,0),"")</f>
        <v>Lego</v>
      </c>
      <c r="C28" s="23" t="str">
        <f>IFERROR(VLOOKUP(A28,'Legenda &amp; Referensi'!$A$6:$D$40,3,0),"")</f>
        <v>Mechanical</v>
      </c>
      <c r="D28" s="23" t="str">
        <f>IFERROR(VLOOKUP(A28,'Legenda &amp; Referensi'!$A$6:$D$40,4,0),"")</f>
        <v>set</v>
      </c>
      <c r="E28" s="23">
        <f>SUMIF('Penerimaan Barang'!$D:$D,A28,'Penerimaan Barang'!$F:$F)</f>
        <v>0</v>
      </c>
      <c r="F28" s="23">
        <f>SUMIF('Form Produksi Modul'!$E:$E,A28,'Form Produksi Modul'!$G:$G)</f>
        <v>0</v>
      </c>
      <c r="G28" s="23">
        <f>SUMIFS('Form Repair'!$H:$H,'Form Repair'!$C:$C,A28,'Form Repair'!$I:$I,"BERHASIL")</f>
        <v>0</v>
      </c>
      <c r="H28" s="23">
        <f>SUMIFS('Form Repair'!$H:$H,'Form Repair'!$C:$C,A28,'Form Repair'!$I:$I,"GAGAL")</f>
        <v>0</v>
      </c>
      <c r="I28" s="23">
        <f t="shared" si="1"/>
        <v>0</v>
      </c>
      <c r="J28" s="23">
        <f t="shared" si="2"/>
        <v>0</v>
      </c>
      <c r="K28" s="23">
        <f t="shared" si="3"/>
        <v>0</v>
      </c>
      <c r="L28" s="23">
        <f>SUMIF('Form Pengembalian'!$F:$F,A28,'Form Pengembalian'!$H:$H)-(G28+H28)</f>
        <v>0</v>
      </c>
    </row>
    <row r="29" ht="15.75" customHeight="1">
      <c r="A29" s="22" t="str">
        <f>'Legenda &amp; Referensi'!A29</f>
        <v>MC-005</v>
      </c>
      <c r="B29" s="23" t="str">
        <f>IFERROR(VLOOKUP(A29,'Legenda &amp; Referensi'!$A$6:$D$40,2,0),"")</f>
        <v>Base Plate Lego</v>
      </c>
      <c r="C29" s="23" t="str">
        <f>IFERROR(VLOOKUP(A29,'Legenda &amp; Referensi'!$A$6:$D$40,3,0),"")</f>
        <v>Mechanical</v>
      </c>
      <c r="D29" s="23" t="str">
        <f>IFERROR(VLOOKUP(A29,'Legenda &amp; Referensi'!$A$6:$D$40,4,0),"")</f>
        <v>pcs</v>
      </c>
      <c r="E29" s="23">
        <f>SUMIF('Penerimaan Barang'!$D:$D,A29,'Penerimaan Barang'!$F:$F)</f>
        <v>0</v>
      </c>
      <c r="F29" s="23">
        <f>SUMIF('Form Produksi Modul'!$E:$E,A29,'Form Produksi Modul'!$G:$G)</f>
        <v>0</v>
      </c>
      <c r="G29" s="23">
        <f>SUMIFS('Form Repair'!$H:$H,'Form Repair'!$C:$C,A29,'Form Repair'!$I:$I,"BERHASIL")</f>
        <v>0</v>
      </c>
      <c r="H29" s="23">
        <f>SUMIFS('Form Repair'!$H:$H,'Form Repair'!$C:$C,A29,'Form Repair'!$I:$I,"GAGAL")</f>
        <v>0</v>
      </c>
      <c r="I29" s="23">
        <f t="shared" si="1"/>
        <v>0</v>
      </c>
      <c r="J29" s="23">
        <f t="shared" si="2"/>
        <v>0</v>
      </c>
      <c r="K29" s="23">
        <f t="shared" si="3"/>
        <v>0</v>
      </c>
      <c r="L29" s="23">
        <f>SUMIF('Form Pengembalian'!$F:$F,A29,'Form Pengembalian'!$H:$H)-(G29+H29)</f>
        <v>0</v>
      </c>
    </row>
    <row r="30" ht="15.75" customHeight="1">
      <c r="A30" s="22" t="str">
        <f>'Legenda &amp; Referensi'!A30</f>
        <v>CS-001</v>
      </c>
      <c r="B30" s="23" t="str">
        <f>IFERROR(VLOOKUP(A30,'Legenda &amp; Referensi'!$A$6:$D$40,2,0),"")</f>
        <v>Karton / Kertas Karton</v>
      </c>
      <c r="C30" s="23" t="str">
        <f>IFERROR(VLOOKUP(A30,'Legenda &amp; Referensi'!$A$6:$D$40,3,0),"")</f>
        <v>Consumable</v>
      </c>
      <c r="D30" s="23" t="str">
        <f>IFERROR(VLOOKUP(A30,'Legenda &amp; Referensi'!$A$6:$D$40,4,0),"")</f>
        <v>lembar</v>
      </c>
      <c r="E30" s="23">
        <f>SUMIF('Penerimaan Barang'!$D:$D,A30,'Penerimaan Barang'!$F:$F)</f>
        <v>0</v>
      </c>
      <c r="F30" s="23">
        <f>SUMIF('Form Produksi Modul'!$E:$E,A30,'Form Produksi Modul'!$G:$G)</f>
        <v>0</v>
      </c>
      <c r="G30" s="23">
        <f>SUMIFS('Form Repair'!$H:$H,'Form Repair'!$C:$C,A30,'Form Repair'!$I:$I,"BERHASIL")</f>
        <v>0</v>
      </c>
      <c r="H30" s="23">
        <f>SUMIFS('Form Repair'!$H:$H,'Form Repair'!$C:$C,A30,'Form Repair'!$I:$I,"GAGAL")</f>
        <v>0</v>
      </c>
      <c r="I30" s="23">
        <f t="shared" si="1"/>
        <v>0</v>
      </c>
      <c r="J30" s="23">
        <f t="shared" si="2"/>
        <v>0</v>
      </c>
      <c r="K30" s="23">
        <f t="shared" si="3"/>
        <v>0</v>
      </c>
      <c r="L30" s="23">
        <f>SUMIF('Form Pengembalian'!$F:$F,A30,'Form Pengembalian'!$H:$H)-(G30+H30)</f>
        <v>0</v>
      </c>
    </row>
    <row r="31" ht="15.75" customHeight="1">
      <c r="A31" s="22" t="str">
        <f>'Legenda &amp; Referensi'!A31</f>
        <v>CS-002</v>
      </c>
      <c r="B31" s="23" t="str">
        <f>IFERROR(VLOOKUP(A31,'Legenda &amp; Referensi'!$A$6:$D$40,2,0),"")</f>
        <v>Kardus</v>
      </c>
      <c r="C31" s="23" t="str">
        <f>IFERROR(VLOOKUP(A31,'Legenda &amp; Referensi'!$A$6:$D$40,3,0),"")</f>
        <v>Consumable</v>
      </c>
      <c r="D31" s="23" t="str">
        <f>IFERROR(VLOOKUP(A31,'Legenda &amp; Referensi'!$A$6:$D$40,4,0),"")</f>
        <v>pcs</v>
      </c>
      <c r="E31" s="23">
        <f>SUMIF('Penerimaan Barang'!$D:$D,A31,'Penerimaan Barang'!$F:$F)</f>
        <v>0</v>
      </c>
      <c r="F31" s="23">
        <f>SUMIF('Form Produksi Modul'!$E:$E,A31,'Form Produksi Modul'!$G:$G)</f>
        <v>0</v>
      </c>
      <c r="G31" s="23">
        <f>SUMIFS('Form Repair'!$H:$H,'Form Repair'!$C:$C,A31,'Form Repair'!$I:$I,"BERHASIL")</f>
        <v>0</v>
      </c>
      <c r="H31" s="23">
        <f>SUMIFS('Form Repair'!$H:$H,'Form Repair'!$C:$C,A31,'Form Repair'!$I:$I,"GAGAL")</f>
        <v>0</v>
      </c>
      <c r="I31" s="23">
        <f t="shared" si="1"/>
        <v>0</v>
      </c>
      <c r="J31" s="23">
        <f t="shared" si="2"/>
        <v>0</v>
      </c>
      <c r="K31" s="23">
        <f t="shared" si="3"/>
        <v>0</v>
      </c>
      <c r="L31" s="23">
        <f>SUMIF('Form Pengembalian'!$F:$F,A31,'Form Pengembalian'!$H:$H)-(G31+H31)</f>
        <v>0</v>
      </c>
    </row>
    <row r="32" ht="15.75" customHeight="1">
      <c r="A32" s="22" t="str">
        <f>'Legenda &amp; Referensi'!A32</f>
        <v>CS-003</v>
      </c>
      <c r="B32" s="23" t="str">
        <f>IFERROR(VLOOKUP(A32,'Legenda &amp; Referensi'!$A$6:$D$40,2,0),"")</f>
        <v>Lakban</v>
      </c>
      <c r="C32" s="23" t="str">
        <f>IFERROR(VLOOKUP(A32,'Legenda &amp; Referensi'!$A$6:$D$40,3,0),"")</f>
        <v>Consumable</v>
      </c>
      <c r="D32" s="23" t="str">
        <f>IFERROR(VLOOKUP(A32,'Legenda &amp; Referensi'!$A$6:$D$40,4,0),"")</f>
        <v>roll</v>
      </c>
      <c r="E32" s="23">
        <f>SUMIF('Penerimaan Barang'!$D:$D,A32,'Penerimaan Barang'!$F:$F)</f>
        <v>0</v>
      </c>
      <c r="F32" s="23">
        <f>SUMIF('Form Produksi Modul'!$E:$E,A32,'Form Produksi Modul'!$G:$G)</f>
        <v>0</v>
      </c>
      <c r="G32" s="23">
        <f>SUMIFS('Form Repair'!$H:$H,'Form Repair'!$C:$C,A32,'Form Repair'!$I:$I,"BERHASIL")</f>
        <v>0</v>
      </c>
      <c r="H32" s="23">
        <f>SUMIFS('Form Repair'!$H:$H,'Form Repair'!$C:$C,A32,'Form Repair'!$I:$I,"GAGAL")</f>
        <v>0</v>
      </c>
      <c r="I32" s="23">
        <f t="shared" si="1"/>
        <v>0</v>
      </c>
      <c r="J32" s="23">
        <f t="shared" si="2"/>
        <v>0</v>
      </c>
      <c r="K32" s="23">
        <f t="shared" si="3"/>
        <v>0</v>
      </c>
      <c r="L32" s="23">
        <f>SUMIF('Form Pengembalian'!$F:$F,A32,'Form Pengembalian'!$H:$H)-(G32+H32)</f>
        <v>0</v>
      </c>
    </row>
    <row r="33" ht="15.75" customHeight="1">
      <c r="A33" s="22" t="str">
        <f>'Legenda &amp; Referensi'!A33</f>
        <v>CS-004</v>
      </c>
      <c r="B33" s="23" t="str">
        <f>IFERROR(VLOOKUP(A33,'Legenda &amp; Referensi'!$A$6:$D$40,2,0),"")</f>
        <v>Double Tape</v>
      </c>
      <c r="C33" s="23" t="str">
        <f>IFERROR(VLOOKUP(A33,'Legenda &amp; Referensi'!$A$6:$D$40,3,0),"")</f>
        <v>Consumable</v>
      </c>
      <c r="D33" s="23" t="str">
        <f>IFERROR(VLOOKUP(A33,'Legenda &amp; Referensi'!$A$6:$D$40,4,0),"")</f>
        <v>roll</v>
      </c>
      <c r="E33" s="23">
        <f>SUMIF('Penerimaan Barang'!$D:$D,A33,'Penerimaan Barang'!$F:$F)</f>
        <v>0</v>
      </c>
      <c r="F33" s="23">
        <f>SUMIF('Form Produksi Modul'!$E:$E,A33,'Form Produksi Modul'!$G:$G)</f>
        <v>0</v>
      </c>
      <c r="G33" s="23">
        <f>SUMIFS('Form Repair'!$H:$H,'Form Repair'!$C:$C,A33,'Form Repair'!$I:$I,"BERHASIL")</f>
        <v>0</v>
      </c>
      <c r="H33" s="23">
        <f>SUMIFS('Form Repair'!$H:$H,'Form Repair'!$C:$C,A33,'Form Repair'!$I:$I,"GAGAL")</f>
        <v>0</v>
      </c>
      <c r="I33" s="23">
        <f t="shared" si="1"/>
        <v>0</v>
      </c>
      <c r="J33" s="23">
        <f t="shared" si="2"/>
        <v>0</v>
      </c>
      <c r="K33" s="23">
        <f t="shared" si="3"/>
        <v>0</v>
      </c>
      <c r="L33" s="23">
        <f>SUMIF('Form Pengembalian'!$F:$F,A33,'Form Pengembalian'!$H:$H)-(G33+H33)</f>
        <v>0</v>
      </c>
    </row>
    <row r="34" ht="15.75" customHeight="1">
      <c r="A34" s="22" t="str">
        <f>'Legenda &amp; Referensi'!A34</f>
        <v>CS-005</v>
      </c>
      <c r="B34" s="23" t="str">
        <f>IFERROR(VLOOKUP(A34,'Legenda &amp; Referensi'!$A$6:$D$40,2,0),"")</f>
        <v>Stik Es Krim</v>
      </c>
      <c r="C34" s="23" t="str">
        <f>IFERROR(VLOOKUP(A34,'Legenda &amp; Referensi'!$A$6:$D$40,3,0),"")</f>
        <v>Consumable</v>
      </c>
      <c r="D34" s="23" t="str">
        <f>IFERROR(VLOOKUP(A34,'Legenda &amp; Referensi'!$A$6:$D$40,4,0),"")</f>
        <v>pcs</v>
      </c>
      <c r="E34" s="23">
        <f>SUMIF('Penerimaan Barang'!$D:$D,A34,'Penerimaan Barang'!$F:$F)</f>
        <v>0</v>
      </c>
      <c r="F34" s="23">
        <f>SUMIF('Form Produksi Modul'!$E:$E,A34,'Form Produksi Modul'!$G:$G)</f>
        <v>0</v>
      </c>
      <c r="G34" s="23">
        <f>SUMIFS('Form Repair'!$H:$H,'Form Repair'!$C:$C,A34,'Form Repair'!$I:$I,"BERHASIL")</f>
        <v>0</v>
      </c>
      <c r="H34" s="23">
        <f>SUMIFS('Form Repair'!$H:$H,'Form Repair'!$C:$C,A34,'Form Repair'!$I:$I,"GAGAL")</f>
        <v>0</v>
      </c>
      <c r="I34" s="23">
        <f t="shared" si="1"/>
        <v>0</v>
      </c>
      <c r="J34" s="23">
        <f t="shared" si="2"/>
        <v>0</v>
      </c>
      <c r="K34" s="23">
        <f t="shared" si="3"/>
        <v>0</v>
      </c>
      <c r="L34" s="23">
        <f>SUMIF('Form Pengembalian'!$F:$F,A34,'Form Pengembalian'!$H:$H)-(G34+H34)</f>
        <v>0</v>
      </c>
    </row>
    <row r="35" ht="15.75" customHeight="1">
      <c r="A35" s="22" t="str">
        <f>'Legenda &amp; Referensi'!A35</f>
        <v>CS-006</v>
      </c>
      <c r="B35" s="23" t="str">
        <f>IFERROR(VLOOKUP(A35,'Legenda &amp; Referensi'!$A$6:$D$40,2,0),"")</f>
        <v>Spidol</v>
      </c>
      <c r="C35" s="23" t="str">
        <f>IFERROR(VLOOKUP(A35,'Legenda &amp; Referensi'!$A$6:$D$40,3,0),"")</f>
        <v>Consumable</v>
      </c>
      <c r="D35" s="23" t="str">
        <f>IFERROR(VLOOKUP(A35,'Legenda &amp; Referensi'!$A$6:$D$40,4,0),"")</f>
        <v>pcs</v>
      </c>
      <c r="E35" s="23">
        <f>SUMIF('Penerimaan Barang'!$D:$D,A35,'Penerimaan Barang'!$F:$F)</f>
        <v>0</v>
      </c>
      <c r="F35" s="23">
        <f>SUMIF('Form Produksi Modul'!$E:$E,A35,'Form Produksi Modul'!$G:$G)</f>
        <v>0</v>
      </c>
      <c r="G35" s="23">
        <f>SUMIFS('Form Repair'!$H:$H,'Form Repair'!$C:$C,A35,'Form Repair'!$I:$I,"BERHASIL")</f>
        <v>0</v>
      </c>
      <c r="H35" s="23">
        <f>SUMIFS('Form Repair'!$H:$H,'Form Repair'!$C:$C,A35,'Form Repair'!$I:$I,"GAGAL")</f>
        <v>0</v>
      </c>
      <c r="I35" s="23">
        <f t="shared" si="1"/>
        <v>0</v>
      </c>
      <c r="J35" s="23">
        <f t="shared" si="2"/>
        <v>0</v>
      </c>
      <c r="K35" s="23">
        <f t="shared" si="3"/>
        <v>0</v>
      </c>
      <c r="L35" s="23">
        <f>SUMIF('Form Pengembalian'!$F:$F,A35,'Form Pengembalian'!$H:$H)-(G35+H35)</f>
        <v>0</v>
      </c>
    </row>
    <row r="36" ht="15.75" customHeight="1">
      <c r="A36" s="22" t="str">
        <f>'Legenda &amp; Referensi'!A36</f>
        <v>CS-007</v>
      </c>
      <c r="B36" s="23" t="str">
        <f>IFERROR(VLOOKUP(A36,'Legenda &amp; Referensi'!$A$6:$D$40,2,0),"")</f>
        <v>Kertas Warna</v>
      </c>
      <c r="C36" s="23" t="str">
        <f>IFERROR(VLOOKUP(A36,'Legenda &amp; Referensi'!$A$6:$D$40,3,0),"")</f>
        <v>Consumable</v>
      </c>
      <c r="D36" s="23" t="str">
        <f>IFERROR(VLOOKUP(A36,'Legenda &amp; Referensi'!$A$6:$D$40,4,0),"")</f>
        <v>lembar</v>
      </c>
      <c r="E36" s="23">
        <f>SUMIF('Penerimaan Barang'!$D:$D,A36,'Penerimaan Barang'!$F:$F)</f>
        <v>0</v>
      </c>
      <c r="F36" s="23">
        <f>SUMIF('Form Produksi Modul'!$E:$E,A36,'Form Produksi Modul'!$G:$G)</f>
        <v>0</v>
      </c>
      <c r="G36" s="23">
        <f>SUMIFS('Form Repair'!$H:$H,'Form Repair'!$C:$C,A36,'Form Repair'!$I:$I,"BERHASIL")</f>
        <v>0</v>
      </c>
      <c r="H36" s="23">
        <f>SUMIFS('Form Repair'!$H:$H,'Form Repair'!$C:$C,A36,'Form Repair'!$I:$I,"GAGAL")</f>
        <v>0</v>
      </c>
      <c r="I36" s="23">
        <f t="shared" si="1"/>
        <v>0</v>
      </c>
      <c r="J36" s="23">
        <f t="shared" si="2"/>
        <v>0</v>
      </c>
      <c r="K36" s="23">
        <f t="shared" si="3"/>
        <v>0</v>
      </c>
      <c r="L36" s="23">
        <f>SUMIF('Form Pengembalian'!$F:$F,A36,'Form Pengembalian'!$H:$H)-(G36+H36)</f>
        <v>0</v>
      </c>
    </row>
    <row r="37" ht="15.75" customHeight="1">
      <c r="A37" s="22" t="str">
        <f>'Legenda &amp; Referensi'!A37</f>
        <v>TL-001</v>
      </c>
      <c r="B37" s="23" t="str">
        <f>IFERROR(VLOOKUP(A37,'Legenda &amp; Referensi'!$A$6:$D$40,2,0),"")</f>
        <v>Gunting</v>
      </c>
      <c r="C37" s="23" t="str">
        <f>IFERROR(VLOOKUP(A37,'Legenda &amp; Referensi'!$A$6:$D$40,3,0),"")</f>
        <v>Tools</v>
      </c>
      <c r="D37" s="23" t="str">
        <f>IFERROR(VLOOKUP(A37,'Legenda &amp; Referensi'!$A$6:$D$40,4,0),"")</f>
        <v>pcs</v>
      </c>
      <c r="E37" s="23">
        <f>SUMIF('Penerimaan Barang'!$D:$D,A37,'Penerimaan Barang'!$F:$F)</f>
        <v>0</v>
      </c>
      <c r="F37" s="23">
        <f>SUMIF('Form Produksi Modul'!$E:$E,A37,'Form Produksi Modul'!$G:$G)</f>
        <v>0</v>
      </c>
      <c r="G37" s="23">
        <f>SUMIFS('Form Repair'!$H:$H,'Form Repair'!$C:$C,A37,'Form Repair'!$I:$I,"BERHASIL")</f>
        <v>0</v>
      </c>
      <c r="H37" s="23">
        <f>SUMIFS('Form Repair'!$H:$H,'Form Repair'!$C:$C,A37,'Form Repair'!$I:$I,"GAGAL")</f>
        <v>0</v>
      </c>
      <c r="I37" s="23">
        <f t="shared" si="1"/>
        <v>0</v>
      </c>
      <c r="J37" s="23">
        <f t="shared" si="2"/>
        <v>0</v>
      </c>
      <c r="K37" s="23">
        <f t="shared" si="3"/>
        <v>0</v>
      </c>
      <c r="L37" s="23">
        <f>SUMIF('Form Pengembalian'!$F:$F,A37,'Form Pengembalian'!$H:$H)-(G37+H37)</f>
        <v>0</v>
      </c>
    </row>
    <row r="38" ht="15.75" customHeight="1">
      <c r="A38" s="22" t="str">
        <f>'Legenda &amp; Referensi'!A38</f>
        <v>TL-002</v>
      </c>
      <c r="B38" s="23" t="str">
        <f>IFERROR(VLOOKUP(A38,'Legenda &amp; Referensi'!$A$6:$D$40,2,0),"")</f>
        <v>Cutter</v>
      </c>
      <c r="C38" s="23" t="str">
        <f>IFERROR(VLOOKUP(A38,'Legenda &amp; Referensi'!$A$6:$D$40,3,0),"")</f>
        <v>Tools</v>
      </c>
      <c r="D38" s="23" t="str">
        <f>IFERROR(VLOOKUP(A38,'Legenda &amp; Referensi'!$A$6:$D$40,4,0),"")</f>
        <v>pcs</v>
      </c>
      <c r="E38" s="23">
        <f>SUMIF('Penerimaan Barang'!$D:$D,A38,'Penerimaan Barang'!$F:$F)</f>
        <v>0</v>
      </c>
      <c r="F38" s="23">
        <f>SUMIF('Form Produksi Modul'!$E:$E,A38,'Form Produksi Modul'!$G:$G)</f>
        <v>0</v>
      </c>
      <c r="G38" s="23">
        <f>SUMIFS('Form Repair'!$H:$H,'Form Repair'!$C:$C,A38,'Form Repair'!$I:$I,"BERHASIL")</f>
        <v>0</v>
      </c>
      <c r="H38" s="23">
        <f>SUMIFS('Form Repair'!$H:$H,'Form Repair'!$C:$C,A38,'Form Repair'!$I:$I,"GAGAL")</f>
        <v>0</v>
      </c>
      <c r="I38" s="23">
        <f t="shared" si="1"/>
        <v>0</v>
      </c>
      <c r="J38" s="23">
        <f t="shared" si="2"/>
        <v>0</v>
      </c>
      <c r="K38" s="23">
        <f t="shared" si="3"/>
        <v>0</v>
      </c>
      <c r="L38" s="23">
        <f>SUMIF('Form Pengembalian'!$F:$F,A38,'Form Pengembalian'!$H:$H)-(G38+H38)</f>
        <v>0</v>
      </c>
    </row>
    <row r="39" ht="15.75" customHeight="1">
      <c r="A39" s="22" t="str">
        <f>'Legenda &amp; Referensi'!A39</f>
        <v>TL-003</v>
      </c>
      <c r="B39" s="23" t="str">
        <f>IFERROR(VLOOKUP(A39,'Legenda &amp; Referensi'!$A$6:$D$40,2,0),"")</f>
        <v>Penggaris / Meteran</v>
      </c>
      <c r="C39" s="23" t="str">
        <f>IFERROR(VLOOKUP(A39,'Legenda &amp; Referensi'!$A$6:$D$40,3,0),"")</f>
        <v>Tools</v>
      </c>
      <c r="D39" s="23" t="str">
        <f>IFERROR(VLOOKUP(A39,'Legenda &amp; Referensi'!$A$6:$D$40,4,0),"")</f>
        <v>pcs</v>
      </c>
      <c r="E39" s="23">
        <f>SUMIF('Penerimaan Barang'!$D:$D,A39,'Penerimaan Barang'!$F:$F)</f>
        <v>0</v>
      </c>
      <c r="F39" s="23">
        <f>SUMIF('Form Produksi Modul'!$E:$E,A39,'Form Produksi Modul'!$G:$G)</f>
        <v>0</v>
      </c>
      <c r="G39" s="23">
        <f>SUMIFS('Form Repair'!$H:$H,'Form Repair'!$C:$C,A39,'Form Repair'!$I:$I,"BERHASIL")</f>
        <v>0</v>
      </c>
      <c r="H39" s="23">
        <f>SUMIFS('Form Repair'!$H:$H,'Form Repair'!$C:$C,A39,'Form Repair'!$I:$I,"GAGAL")</f>
        <v>0</v>
      </c>
      <c r="I39" s="23">
        <f t="shared" si="1"/>
        <v>0</v>
      </c>
      <c r="J39" s="23">
        <f t="shared" si="2"/>
        <v>0</v>
      </c>
      <c r="K39" s="23">
        <f t="shared" si="3"/>
        <v>0</v>
      </c>
      <c r="L39" s="23">
        <f>SUMIF('Form Pengembalian'!$F:$F,A39,'Form Pengembalian'!$H:$H)-(G39+H39)</f>
        <v>0</v>
      </c>
    </row>
    <row r="40" ht="15.75" customHeight="1">
      <c r="A40" s="22" t="str">
        <f>'Legenda &amp; Referensi'!A40</f>
        <v>TL-004</v>
      </c>
      <c r="B40" s="23" t="str">
        <f>IFERROR(VLOOKUP(A40,'Legenda &amp; Referensi'!$A$6:$D$40,2,0),"")</f>
        <v>Lem Tembak</v>
      </c>
      <c r="C40" s="23" t="str">
        <f>IFERROR(VLOOKUP(A40,'Legenda &amp; Referensi'!$A$6:$D$40,3,0),"")</f>
        <v>Tools</v>
      </c>
      <c r="D40" s="23" t="str">
        <f>IFERROR(VLOOKUP(A40,'Legenda &amp; Referensi'!$A$6:$D$40,4,0),"")</f>
        <v>pcs</v>
      </c>
      <c r="E40" s="23">
        <f>SUMIF('Penerimaan Barang'!$D:$D,A40,'Penerimaan Barang'!$F:$F)</f>
        <v>0</v>
      </c>
      <c r="F40" s="23">
        <f>SUMIF('Form Produksi Modul'!$E:$E,A40,'Form Produksi Modul'!$G:$G)</f>
        <v>0</v>
      </c>
      <c r="G40" s="23">
        <f>SUMIFS('Form Repair'!$H:$H,'Form Repair'!$C:$C,A40,'Form Repair'!$I:$I,"BERHASIL")</f>
        <v>0</v>
      </c>
      <c r="H40" s="23">
        <f>SUMIFS('Form Repair'!$H:$H,'Form Repair'!$C:$C,A40,'Form Repair'!$I:$I,"GAGAL")</f>
        <v>0</v>
      </c>
      <c r="I40" s="23">
        <f t="shared" si="1"/>
        <v>0</v>
      </c>
      <c r="J40" s="23">
        <f t="shared" si="2"/>
        <v>0</v>
      </c>
      <c r="K40" s="23">
        <f t="shared" si="3"/>
        <v>0</v>
      </c>
      <c r="L40" s="23">
        <f>SUMIF('Form Pengembalian'!$F:$F,A40,'Form Pengembalian'!$H:$H)-(G40+H40)</f>
        <v>0</v>
      </c>
    </row>
    <row r="41" ht="15.75" customHeight="1">
      <c r="A41" s="38"/>
      <c r="B41" s="38" t="s">
        <v>269</v>
      </c>
      <c r="C41" s="38"/>
      <c r="D41" s="38"/>
      <c r="E41" s="38">
        <f t="shared" ref="E41:L41" si="4">SUM(E6:E40)</f>
        <v>0</v>
      </c>
      <c r="F41" s="38">
        <f t="shared" si="4"/>
        <v>0</v>
      </c>
      <c r="G41" s="38">
        <f t="shared" si="4"/>
        <v>0</v>
      </c>
      <c r="H41" s="38">
        <f t="shared" si="4"/>
        <v>0</v>
      </c>
      <c r="I41" s="38">
        <f t="shared" si="4"/>
        <v>0</v>
      </c>
      <c r="J41" s="38">
        <f t="shared" si="4"/>
        <v>0</v>
      </c>
      <c r="K41" s="38">
        <f t="shared" si="4"/>
        <v>0</v>
      </c>
      <c r="L41" s="38">
        <f t="shared" si="4"/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3:L3"/>
  </mergeCells>
  <conditionalFormatting sqref="I6:I40">
    <cfRule type="cellIs" dxfId="0" priority="1" operator="lessThan">
      <formula>0</formula>
    </cfRule>
  </conditionalFormatting>
  <conditionalFormatting sqref="L6:L40">
    <cfRule type="cellIs" dxfId="1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2" width="12.0"/>
    <col customWidth="1" min="3" max="3" width="16.0"/>
    <col customWidth="1" min="4" max="4" width="14.0"/>
    <col customWidth="1" min="5" max="5" width="28.0"/>
    <col customWidth="1" min="6" max="6" width="12.0"/>
    <col customWidth="1" min="7" max="7" width="10.0"/>
    <col customWidth="1" min="8" max="8" width="20.0"/>
    <col customWidth="1" min="9" max="9" width="18.0"/>
    <col customWidth="1" min="10" max="10" width="30.0"/>
    <col customWidth="1" min="11" max="26" width="8.71"/>
  </cols>
  <sheetData>
    <row r="1">
      <c r="A1" s="1" t="s">
        <v>1</v>
      </c>
    </row>
    <row r="2">
      <c r="A2" s="3" t="s">
        <v>5</v>
      </c>
    </row>
    <row r="3">
      <c r="A3" s="5" t="s">
        <v>6</v>
      </c>
    </row>
    <row r="5">
      <c r="A5" s="6" t="s">
        <v>8</v>
      </c>
      <c r="B5" s="6" t="s">
        <v>10</v>
      </c>
      <c r="C5" s="6" t="s">
        <v>11</v>
      </c>
      <c r="D5" s="6" t="s">
        <v>13</v>
      </c>
      <c r="E5" s="6" t="s">
        <v>15</v>
      </c>
      <c r="F5" s="6" t="s">
        <v>18</v>
      </c>
      <c r="G5" s="6" t="s">
        <v>19</v>
      </c>
      <c r="H5" s="6" t="s">
        <v>21</v>
      </c>
      <c r="I5" s="6" t="s">
        <v>23</v>
      </c>
      <c r="J5" s="6" t="s">
        <v>20</v>
      </c>
    </row>
    <row r="6">
      <c r="A6" s="12"/>
      <c r="B6" s="14">
        <v>46247.0</v>
      </c>
      <c r="C6" s="16">
        <v>1002.0</v>
      </c>
      <c r="D6" s="16" t="s">
        <v>51</v>
      </c>
      <c r="E6" s="23" t="str">
        <f>IFERROR(VLOOKUP(D6,'Legenda &amp; Referensi'!$A$6:$D$46,2,0),"")</f>
        <v>Blok Konektor (CH-2 Push Connector)</v>
      </c>
      <c r="F6" s="12"/>
      <c r="G6" s="23" t="str">
        <f>IFERROR(VLOOKUP(D6,'Legenda &amp; Referensi'!$A$6:$D$46,4,0),"")</f>
        <v>pcs</v>
      </c>
      <c r="H6" s="12"/>
      <c r="I6" s="12"/>
      <c r="J6" s="12"/>
    </row>
    <row r="7">
      <c r="A7" s="12"/>
      <c r="B7" s="12"/>
      <c r="C7" s="12"/>
      <c r="D7" s="12"/>
      <c r="E7" s="23" t="str">
        <f>IFERROR(VLOOKUP(D7,'Legenda &amp; Referensi'!$A$6:$D$46,2,0),"")</f>
        <v/>
      </c>
      <c r="F7" s="12"/>
      <c r="G7" s="23" t="str">
        <f>IFERROR(VLOOKUP(D7,'Legenda &amp; Referensi'!$A$6:$D$46,4,0),"")</f>
        <v/>
      </c>
      <c r="H7" s="12"/>
      <c r="I7" s="12"/>
      <c r="J7" s="12"/>
    </row>
    <row r="8">
      <c r="A8" s="12"/>
      <c r="B8" s="12"/>
      <c r="C8" s="12"/>
      <c r="D8" s="12"/>
      <c r="E8" s="23" t="str">
        <f>IFERROR(VLOOKUP(D8,'Legenda &amp; Referensi'!$A$6:$D$46,2,0),"")</f>
        <v/>
      </c>
      <c r="F8" s="12"/>
      <c r="G8" s="23" t="str">
        <f>IFERROR(VLOOKUP(D8,'Legenda &amp; Referensi'!$A$6:$D$46,4,0),"")</f>
        <v/>
      </c>
      <c r="H8" s="12"/>
      <c r="I8" s="12"/>
      <c r="J8" s="12"/>
    </row>
    <row r="9">
      <c r="A9" s="12"/>
      <c r="B9" s="12"/>
      <c r="C9" s="12"/>
      <c r="D9" s="12"/>
      <c r="E9" s="23" t="str">
        <f>IFERROR(VLOOKUP(D9,'Legenda &amp; Referensi'!$A$6:$D$46,2,0),"")</f>
        <v/>
      </c>
      <c r="F9" s="12"/>
      <c r="G9" s="23" t="str">
        <f>IFERROR(VLOOKUP(D9,'Legenda &amp; Referensi'!$A$6:$D$46,4,0),"")</f>
        <v/>
      </c>
      <c r="H9" s="12"/>
      <c r="I9" s="12"/>
      <c r="J9" s="12"/>
    </row>
    <row r="10">
      <c r="A10" s="12"/>
      <c r="B10" s="12"/>
      <c r="C10" s="12"/>
      <c r="D10" s="12"/>
      <c r="E10" s="23" t="str">
        <f>IFERROR(VLOOKUP(D10,'Legenda &amp; Referensi'!$A$6:$D$46,2,0),"")</f>
        <v/>
      </c>
      <c r="F10" s="12"/>
      <c r="G10" s="23" t="str">
        <f>IFERROR(VLOOKUP(D10,'Legenda &amp; Referensi'!$A$6:$D$46,4,0),"")</f>
        <v/>
      </c>
      <c r="H10" s="12"/>
      <c r="I10" s="12"/>
      <c r="J10" s="12"/>
    </row>
    <row r="11">
      <c r="A11" s="12"/>
      <c r="B11" s="12"/>
      <c r="C11" s="12"/>
      <c r="D11" s="12"/>
      <c r="E11" s="23" t="str">
        <f>IFERROR(VLOOKUP(D11,'Legenda &amp; Referensi'!$A$6:$D$46,2,0),"")</f>
        <v/>
      </c>
      <c r="F11" s="12"/>
      <c r="G11" s="23" t="str">
        <f>IFERROR(VLOOKUP(D11,'Legenda &amp; Referensi'!$A$6:$D$46,4,0),"")</f>
        <v/>
      </c>
      <c r="H11" s="12"/>
      <c r="I11" s="12"/>
      <c r="J11" s="12"/>
    </row>
    <row r="12">
      <c r="A12" s="12"/>
      <c r="B12" s="12"/>
      <c r="C12" s="12"/>
      <c r="D12" s="12"/>
      <c r="E12" s="23" t="str">
        <f>IFERROR(VLOOKUP(D12,'Legenda &amp; Referensi'!$A$6:$D$46,2,0),"")</f>
        <v/>
      </c>
      <c r="F12" s="12"/>
      <c r="G12" s="23" t="str">
        <f>IFERROR(VLOOKUP(D12,'Legenda &amp; Referensi'!$A$6:$D$46,4,0),"")</f>
        <v/>
      </c>
      <c r="H12" s="12"/>
      <c r="I12" s="12"/>
      <c r="J12" s="12"/>
    </row>
    <row r="13">
      <c r="A13" s="12"/>
      <c r="B13" s="12"/>
      <c r="C13" s="12"/>
      <c r="D13" s="12"/>
      <c r="E13" s="23" t="str">
        <f>IFERROR(VLOOKUP(D13,'Legenda &amp; Referensi'!$A$6:$D$46,2,0),"")</f>
        <v/>
      </c>
      <c r="F13" s="12"/>
      <c r="G13" s="23" t="str">
        <f>IFERROR(VLOOKUP(D13,'Legenda &amp; Referensi'!$A$6:$D$46,4,0),"")</f>
        <v/>
      </c>
      <c r="H13" s="12"/>
      <c r="I13" s="12"/>
      <c r="J13" s="12"/>
    </row>
    <row r="14">
      <c r="A14" s="12"/>
      <c r="B14" s="12"/>
      <c r="C14" s="12"/>
      <c r="D14" s="12"/>
      <c r="E14" s="23" t="str">
        <f>IFERROR(VLOOKUP(D14,'Legenda &amp; Referensi'!$A$6:$D$46,2,0),"")</f>
        <v/>
      </c>
      <c r="F14" s="12"/>
      <c r="G14" s="23" t="str">
        <f>IFERROR(VLOOKUP(D14,'Legenda &amp; Referensi'!$A$6:$D$46,4,0),"")</f>
        <v/>
      </c>
      <c r="H14" s="12"/>
      <c r="I14" s="12"/>
      <c r="J14" s="12"/>
    </row>
    <row r="15">
      <c r="A15" s="12"/>
      <c r="B15" s="12"/>
      <c r="C15" s="12"/>
      <c r="D15" s="12"/>
      <c r="E15" s="23" t="str">
        <f>IFERROR(VLOOKUP(D15,'Legenda &amp; Referensi'!$A$6:$D$46,2,0),"")</f>
        <v/>
      </c>
      <c r="F15" s="12"/>
      <c r="G15" s="23" t="str">
        <f>IFERROR(VLOOKUP(D15,'Legenda &amp; Referensi'!$A$6:$D$46,4,0),"")</f>
        <v/>
      </c>
      <c r="H15" s="12"/>
      <c r="I15" s="12"/>
      <c r="J15" s="12"/>
    </row>
    <row r="16">
      <c r="A16" s="12"/>
      <c r="B16" s="12"/>
      <c r="C16" s="12"/>
      <c r="D16" s="12"/>
      <c r="E16" s="23" t="str">
        <f>IFERROR(VLOOKUP(D16,'Legenda &amp; Referensi'!$A$6:$D$46,2,0),"")</f>
        <v/>
      </c>
      <c r="F16" s="12"/>
      <c r="G16" s="23" t="str">
        <f>IFERROR(VLOOKUP(D16,'Legenda &amp; Referensi'!$A$6:$D$46,4,0),"")</f>
        <v/>
      </c>
      <c r="H16" s="12"/>
      <c r="I16" s="12"/>
      <c r="J16" s="12"/>
    </row>
    <row r="17">
      <c r="A17" s="12"/>
      <c r="B17" s="12"/>
      <c r="C17" s="12"/>
      <c r="D17" s="12"/>
      <c r="E17" s="23" t="str">
        <f>IFERROR(VLOOKUP(D17,'Legenda &amp; Referensi'!$A$6:$D$46,2,0),"")</f>
        <v/>
      </c>
      <c r="F17" s="12"/>
      <c r="G17" s="23" t="str">
        <f>IFERROR(VLOOKUP(D17,'Legenda &amp; Referensi'!$A$6:$D$46,4,0),"")</f>
        <v/>
      </c>
      <c r="H17" s="12"/>
      <c r="I17" s="12"/>
      <c r="J17" s="12"/>
    </row>
    <row r="18">
      <c r="A18" s="12"/>
      <c r="B18" s="12"/>
      <c r="C18" s="12"/>
      <c r="D18" s="12"/>
      <c r="E18" s="23" t="str">
        <f>IFERROR(VLOOKUP(D18,'Legenda &amp; Referensi'!$A$6:$D$46,2,0),"")</f>
        <v/>
      </c>
      <c r="F18" s="12"/>
      <c r="G18" s="23" t="str">
        <f>IFERROR(VLOOKUP(D18,'Legenda &amp; Referensi'!$A$6:$D$46,4,0),"")</f>
        <v/>
      </c>
      <c r="H18" s="12"/>
      <c r="I18" s="12"/>
      <c r="J18" s="12"/>
    </row>
    <row r="19">
      <c r="A19" s="12"/>
      <c r="B19" s="12"/>
      <c r="C19" s="12"/>
      <c r="D19" s="12"/>
      <c r="E19" s="23" t="str">
        <f>IFERROR(VLOOKUP(D19,'Legenda &amp; Referensi'!$A$6:$D$46,2,0),"")</f>
        <v/>
      </c>
      <c r="F19" s="12"/>
      <c r="G19" s="23" t="str">
        <f>IFERROR(VLOOKUP(D19,'Legenda &amp; Referensi'!$A$6:$D$46,4,0),"")</f>
        <v/>
      </c>
      <c r="H19" s="12"/>
      <c r="I19" s="12"/>
      <c r="J19" s="12"/>
    </row>
    <row r="20">
      <c r="A20" s="12"/>
      <c r="B20" s="12"/>
      <c r="C20" s="12"/>
      <c r="D20" s="12"/>
      <c r="E20" s="23" t="str">
        <f>IFERROR(VLOOKUP(D20,'Legenda &amp; Referensi'!$A$6:$D$46,2,0),"")</f>
        <v/>
      </c>
      <c r="F20" s="12"/>
      <c r="G20" s="23" t="str">
        <f>IFERROR(VLOOKUP(D20,'Legenda &amp; Referensi'!$A$6:$D$46,4,0),"")</f>
        <v/>
      </c>
      <c r="H20" s="12"/>
      <c r="I20" s="12"/>
      <c r="J20" s="12"/>
    </row>
    <row r="21" ht="15.75" customHeight="1">
      <c r="A21" s="12"/>
      <c r="B21" s="12"/>
      <c r="C21" s="12"/>
      <c r="D21" s="12"/>
      <c r="E21" s="23" t="str">
        <f>IFERROR(VLOOKUP(D21,'Legenda &amp; Referensi'!$A$6:$D$46,2,0),"")</f>
        <v/>
      </c>
      <c r="F21" s="12"/>
      <c r="G21" s="23" t="str">
        <f>IFERROR(VLOOKUP(D21,'Legenda &amp; Referensi'!$A$6:$D$46,4,0),"")</f>
        <v/>
      </c>
      <c r="H21" s="12"/>
      <c r="I21" s="12"/>
      <c r="J21" s="12"/>
    </row>
    <row r="22" ht="15.75" customHeight="1">
      <c r="A22" s="12"/>
      <c r="B22" s="12"/>
      <c r="C22" s="12"/>
      <c r="D22" s="12"/>
      <c r="E22" s="23" t="str">
        <f>IFERROR(VLOOKUP(D22,'Legenda &amp; Referensi'!$A$6:$D$46,2,0),"")</f>
        <v/>
      </c>
      <c r="F22" s="12"/>
      <c r="G22" s="23" t="str">
        <f>IFERROR(VLOOKUP(D22,'Legenda &amp; Referensi'!$A$6:$D$46,4,0),"")</f>
        <v/>
      </c>
      <c r="H22" s="12"/>
      <c r="I22" s="12"/>
      <c r="J22" s="12"/>
    </row>
    <row r="23" ht="15.75" customHeight="1">
      <c r="A23" s="12"/>
      <c r="B23" s="12"/>
      <c r="C23" s="12"/>
      <c r="D23" s="12"/>
      <c r="E23" s="23" t="str">
        <f>IFERROR(VLOOKUP(D23,'Legenda &amp; Referensi'!$A$6:$D$46,2,0),"")</f>
        <v/>
      </c>
      <c r="F23" s="12"/>
      <c r="G23" s="23" t="str">
        <f>IFERROR(VLOOKUP(D23,'Legenda &amp; Referensi'!$A$6:$D$46,4,0),"")</f>
        <v/>
      </c>
      <c r="H23" s="12"/>
      <c r="I23" s="12"/>
      <c r="J23" s="12"/>
    </row>
    <row r="24" ht="15.75" customHeight="1">
      <c r="A24" s="12"/>
      <c r="B24" s="12"/>
      <c r="C24" s="12"/>
      <c r="D24" s="12"/>
      <c r="E24" s="23" t="str">
        <f>IFERROR(VLOOKUP(D24,'Legenda &amp; Referensi'!$A$6:$D$46,2,0),"")</f>
        <v/>
      </c>
      <c r="F24" s="12"/>
      <c r="G24" s="23" t="str">
        <f>IFERROR(VLOOKUP(D24,'Legenda &amp; Referensi'!$A$6:$D$46,4,0),"")</f>
        <v/>
      </c>
      <c r="H24" s="12"/>
      <c r="I24" s="12"/>
      <c r="J24" s="12"/>
    </row>
    <row r="25" ht="15.75" customHeight="1">
      <c r="A25" s="12"/>
      <c r="B25" s="12"/>
      <c r="C25" s="12"/>
      <c r="D25" s="12"/>
      <c r="E25" s="23" t="str">
        <f>IFERROR(VLOOKUP(D25,'Legenda &amp; Referensi'!$A$6:$D$46,2,0),"")</f>
        <v/>
      </c>
      <c r="F25" s="12"/>
      <c r="G25" s="23" t="str">
        <f>IFERROR(VLOOKUP(D25,'Legenda &amp; Referensi'!$A$6:$D$46,4,0),"")</f>
        <v/>
      </c>
      <c r="H25" s="12"/>
      <c r="I25" s="12"/>
      <c r="J25" s="12"/>
    </row>
    <row r="26" ht="15.75" customHeight="1">
      <c r="A26" s="12"/>
      <c r="B26" s="12"/>
      <c r="C26" s="12"/>
      <c r="D26" s="12"/>
      <c r="E26" s="23" t="str">
        <f>IFERROR(VLOOKUP(D26,'Legenda &amp; Referensi'!$A$6:$D$46,2,0),"")</f>
        <v/>
      </c>
      <c r="F26" s="12"/>
      <c r="G26" s="23" t="str">
        <f>IFERROR(VLOOKUP(D26,'Legenda &amp; Referensi'!$A$6:$D$46,4,0),"")</f>
        <v/>
      </c>
      <c r="H26" s="12"/>
      <c r="I26" s="12"/>
      <c r="J26" s="12"/>
    </row>
    <row r="27" ht="15.75" customHeight="1">
      <c r="A27" s="12"/>
      <c r="B27" s="12"/>
      <c r="C27" s="12"/>
      <c r="D27" s="12"/>
      <c r="E27" s="23" t="str">
        <f>IFERROR(VLOOKUP(D27,'Legenda &amp; Referensi'!$A$6:$D$46,2,0),"")</f>
        <v/>
      </c>
      <c r="F27" s="12"/>
      <c r="G27" s="23" t="str">
        <f>IFERROR(VLOOKUP(D27,'Legenda &amp; Referensi'!$A$6:$D$46,4,0),"")</f>
        <v/>
      </c>
      <c r="H27" s="12"/>
      <c r="I27" s="12"/>
      <c r="J27" s="12"/>
    </row>
    <row r="28" ht="15.75" customHeight="1">
      <c r="A28" s="12"/>
      <c r="B28" s="12"/>
      <c r="C28" s="12"/>
      <c r="D28" s="12"/>
      <c r="E28" s="23" t="str">
        <f>IFERROR(VLOOKUP(D28,'Legenda &amp; Referensi'!$A$6:$D$46,2,0),"")</f>
        <v/>
      </c>
      <c r="F28" s="12"/>
      <c r="G28" s="23" t="str">
        <f>IFERROR(VLOOKUP(D28,'Legenda &amp; Referensi'!$A$6:$D$46,4,0),"")</f>
        <v/>
      </c>
      <c r="H28" s="12"/>
      <c r="I28" s="12"/>
      <c r="J28" s="12"/>
    </row>
    <row r="29" ht="15.75" customHeight="1">
      <c r="A29" s="12"/>
      <c r="B29" s="12"/>
      <c r="C29" s="12"/>
      <c r="D29" s="12"/>
      <c r="E29" s="23" t="str">
        <f>IFERROR(VLOOKUP(D29,'Legenda &amp; Referensi'!$A$6:$D$46,2,0),"")</f>
        <v/>
      </c>
      <c r="F29" s="12"/>
      <c r="G29" s="23" t="str">
        <f>IFERROR(VLOOKUP(D29,'Legenda &amp; Referensi'!$A$6:$D$46,4,0),"")</f>
        <v/>
      </c>
      <c r="H29" s="12"/>
      <c r="I29" s="12"/>
      <c r="J29" s="12"/>
    </row>
    <row r="30" ht="15.75" customHeight="1">
      <c r="A30" s="12"/>
      <c r="B30" s="12"/>
      <c r="C30" s="12"/>
      <c r="D30" s="12"/>
      <c r="E30" s="23" t="str">
        <f>IFERROR(VLOOKUP(D30,'Legenda &amp; Referensi'!$A$6:$D$46,2,0),"")</f>
        <v/>
      </c>
      <c r="F30" s="12"/>
      <c r="G30" s="23" t="str">
        <f>IFERROR(VLOOKUP(D30,'Legenda &amp; Referensi'!$A$6:$D$46,4,0),"")</f>
        <v/>
      </c>
      <c r="H30" s="12"/>
      <c r="I30" s="12"/>
      <c r="J30" s="12"/>
    </row>
    <row r="31" ht="15.75" customHeight="1">
      <c r="A31" s="12"/>
      <c r="B31" s="12"/>
      <c r="C31" s="12"/>
      <c r="D31" s="12"/>
      <c r="E31" s="23" t="str">
        <f>IFERROR(VLOOKUP(D31,'Legenda &amp; Referensi'!$A$6:$D$46,2,0),"")</f>
        <v/>
      </c>
      <c r="F31" s="12"/>
      <c r="G31" s="23" t="str">
        <f>IFERROR(VLOOKUP(D31,'Legenda &amp; Referensi'!$A$6:$D$46,4,0),"")</f>
        <v/>
      </c>
      <c r="H31" s="12"/>
      <c r="I31" s="12"/>
      <c r="J31" s="12"/>
    </row>
    <row r="32" ht="15.75" customHeight="1">
      <c r="A32" s="12"/>
      <c r="B32" s="12"/>
      <c r="C32" s="12"/>
      <c r="D32" s="12"/>
      <c r="E32" s="23" t="str">
        <f>IFERROR(VLOOKUP(D32,'Legenda &amp; Referensi'!$A$6:$D$46,2,0),"")</f>
        <v/>
      </c>
      <c r="F32" s="12"/>
      <c r="G32" s="23" t="str">
        <f>IFERROR(VLOOKUP(D32,'Legenda &amp; Referensi'!$A$6:$D$46,4,0),"")</f>
        <v/>
      </c>
      <c r="H32" s="12"/>
      <c r="I32" s="12"/>
      <c r="J32" s="12"/>
    </row>
    <row r="33" ht="15.75" customHeight="1">
      <c r="A33" s="12"/>
      <c r="B33" s="12"/>
      <c r="C33" s="12"/>
      <c r="D33" s="12"/>
      <c r="E33" s="23" t="str">
        <f>IFERROR(VLOOKUP(D33,'Legenda &amp; Referensi'!$A$6:$D$46,2,0),"")</f>
        <v/>
      </c>
      <c r="F33" s="12"/>
      <c r="G33" s="23" t="str">
        <f>IFERROR(VLOOKUP(D33,'Legenda &amp; Referensi'!$A$6:$D$46,4,0),"")</f>
        <v/>
      </c>
      <c r="H33" s="12"/>
      <c r="I33" s="12"/>
      <c r="J33" s="12"/>
    </row>
    <row r="34" ht="15.75" customHeight="1">
      <c r="A34" s="12"/>
      <c r="B34" s="12"/>
      <c r="C34" s="12"/>
      <c r="D34" s="12"/>
      <c r="E34" s="23" t="str">
        <f>IFERROR(VLOOKUP(D34,'Legenda &amp; Referensi'!$A$6:$D$46,2,0),"")</f>
        <v/>
      </c>
      <c r="F34" s="12"/>
      <c r="G34" s="23" t="str">
        <f>IFERROR(VLOOKUP(D34,'Legenda &amp; Referensi'!$A$6:$D$46,4,0),"")</f>
        <v/>
      </c>
      <c r="H34" s="12"/>
      <c r="I34" s="12"/>
      <c r="J34" s="12"/>
    </row>
    <row r="35" ht="15.75" customHeight="1">
      <c r="A35" s="12"/>
      <c r="B35" s="12"/>
      <c r="C35" s="12"/>
      <c r="D35" s="12"/>
      <c r="E35" s="23" t="str">
        <f>IFERROR(VLOOKUP(D35,'Legenda &amp; Referensi'!$A$6:$D$46,2,0),"")</f>
        <v/>
      </c>
      <c r="F35" s="12"/>
      <c r="G35" s="23" t="str">
        <f>IFERROR(VLOOKUP(D35,'Legenda &amp; Referensi'!$A$6:$D$46,4,0),"")</f>
        <v/>
      </c>
      <c r="H35" s="12"/>
      <c r="I35" s="12"/>
      <c r="J35" s="12"/>
    </row>
    <row r="36" ht="15.75" customHeight="1">
      <c r="A36" s="12"/>
      <c r="B36" s="12"/>
      <c r="C36" s="12"/>
      <c r="D36" s="12"/>
      <c r="E36" s="23" t="str">
        <f>IFERROR(VLOOKUP(D36,'Legenda &amp; Referensi'!$A$6:$D$46,2,0),"")</f>
        <v/>
      </c>
      <c r="F36" s="12"/>
      <c r="G36" s="23" t="str">
        <f>IFERROR(VLOOKUP(D36,'Legenda &amp; Referensi'!$A$6:$D$46,4,0),"")</f>
        <v/>
      </c>
      <c r="H36" s="12"/>
      <c r="I36" s="12"/>
      <c r="J36" s="12"/>
    </row>
    <row r="37" ht="15.75" customHeight="1">
      <c r="A37" s="12"/>
      <c r="B37" s="12"/>
      <c r="C37" s="12"/>
      <c r="D37" s="12"/>
      <c r="E37" s="23" t="str">
        <f>IFERROR(VLOOKUP(D37,'Legenda &amp; Referensi'!$A$6:$D$46,2,0),"")</f>
        <v/>
      </c>
      <c r="F37" s="12"/>
      <c r="G37" s="23" t="str">
        <f>IFERROR(VLOOKUP(D37,'Legenda &amp; Referensi'!$A$6:$D$46,4,0),"")</f>
        <v/>
      </c>
      <c r="H37" s="12"/>
      <c r="I37" s="12"/>
      <c r="J37" s="12"/>
    </row>
    <row r="38" ht="15.75" customHeight="1">
      <c r="A38" s="12"/>
      <c r="B38" s="12"/>
      <c r="C38" s="12"/>
      <c r="D38" s="12"/>
      <c r="E38" s="23" t="str">
        <f>IFERROR(VLOOKUP(D38,'Legenda &amp; Referensi'!$A$6:$D$46,2,0),"")</f>
        <v/>
      </c>
      <c r="F38" s="12"/>
      <c r="G38" s="23" t="str">
        <f>IFERROR(VLOOKUP(D38,'Legenda &amp; Referensi'!$A$6:$D$46,4,0),"")</f>
        <v/>
      </c>
      <c r="H38" s="12"/>
      <c r="I38" s="12"/>
      <c r="J38" s="12"/>
    </row>
    <row r="39" ht="15.75" customHeight="1">
      <c r="A39" s="12"/>
      <c r="B39" s="12"/>
      <c r="C39" s="12"/>
      <c r="D39" s="12"/>
      <c r="E39" s="23" t="str">
        <f>IFERROR(VLOOKUP(D39,'Legenda &amp; Referensi'!$A$6:$D$46,2,0),"")</f>
        <v/>
      </c>
      <c r="F39" s="12"/>
      <c r="G39" s="23" t="str">
        <f>IFERROR(VLOOKUP(D39,'Legenda &amp; Referensi'!$A$6:$D$46,4,0),"")</f>
        <v/>
      </c>
      <c r="H39" s="12"/>
      <c r="I39" s="12"/>
      <c r="J39" s="12"/>
    </row>
    <row r="40" ht="15.75" customHeight="1">
      <c r="A40" s="12"/>
      <c r="B40" s="12"/>
      <c r="C40" s="12"/>
      <c r="D40" s="12"/>
      <c r="E40" s="23" t="str">
        <f>IFERROR(VLOOKUP(D40,'Legenda &amp; Referensi'!$A$6:$D$46,2,0),"")</f>
        <v/>
      </c>
      <c r="F40" s="12"/>
      <c r="G40" s="23" t="str">
        <f>IFERROR(VLOOKUP(D40,'Legenda &amp; Referensi'!$A$6:$D$46,4,0),"")</f>
        <v/>
      </c>
      <c r="H40" s="12"/>
      <c r="I40" s="12"/>
      <c r="J40" s="12"/>
    </row>
    <row r="41" ht="15.75" customHeight="1">
      <c r="A41" s="12"/>
      <c r="B41" s="12"/>
      <c r="C41" s="12"/>
      <c r="D41" s="12"/>
      <c r="E41" s="23" t="str">
        <f>IFERROR(VLOOKUP(D41,'Legenda &amp; Referensi'!$A$6:$D$46,2,0),"")</f>
        <v/>
      </c>
      <c r="F41" s="12"/>
      <c r="G41" s="23" t="str">
        <f>IFERROR(VLOOKUP(D41,'Legenda &amp; Referensi'!$A$6:$D$46,4,0),"")</f>
        <v/>
      </c>
      <c r="H41" s="12"/>
      <c r="I41" s="12"/>
      <c r="J41" s="12"/>
    </row>
    <row r="42" ht="15.75" customHeight="1">
      <c r="A42" s="12"/>
      <c r="B42" s="12"/>
      <c r="C42" s="12"/>
      <c r="D42" s="12"/>
      <c r="E42" s="23" t="str">
        <f>IFERROR(VLOOKUP(D42,'Legenda &amp; Referensi'!$A$6:$D$46,2,0),"")</f>
        <v/>
      </c>
      <c r="F42" s="12"/>
      <c r="G42" s="23" t="str">
        <f>IFERROR(VLOOKUP(D42,'Legenda &amp; Referensi'!$A$6:$D$46,4,0),"")</f>
        <v/>
      </c>
      <c r="H42" s="12"/>
      <c r="I42" s="12"/>
      <c r="J42" s="12"/>
    </row>
    <row r="43" ht="15.75" customHeight="1">
      <c r="A43" s="12"/>
      <c r="B43" s="12"/>
      <c r="C43" s="12"/>
      <c r="D43" s="12"/>
      <c r="E43" s="23" t="str">
        <f>IFERROR(VLOOKUP(D43,'Legenda &amp; Referensi'!$A$6:$D$46,2,0),"")</f>
        <v/>
      </c>
      <c r="F43" s="12"/>
      <c r="G43" s="23" t="str">
        <f>IFERROR(VLOOKUP(D43,'Legenda &amp; Referensi'!$A$6:$D$46,4,0),"")</f>
        <v/>
      </c>
      <c r="H43" s="12"/>
      <c r="I43" s="12"/>
      <c r="J43" s="12"/>
    </row>
    <row r="44" ht="15.75" customHeight="1">
      <c r="A44" s="12"/>
      <c r="B44" s="12"/>
      <c r="C44" s="12"/>
      <c r="D44" s="12"/>
      <c r="E44" s="23" t="str">
        <f>IFERROR(VLOOKUP(D44,'Legenda &amp; Referensi'!$A$6:$D$46,2,0),"")</f>
        <v/>
      </c>
      <c r="F44" s="12"/>
      <c r="G44" s="23" t="str">
        <f>IFERROR(VLOOKUP(D44,'Legenda &amp; Referensi'!$A$6:$D$46,4,0),"")</f>
        <v/>
      </c>
      <c r="H44" s="12"/>
      <c r="I44" s="12"/>
      <c r="J44" s="12"/>
    </row>
    <row r="45" ht="15.75" customHeight="1">
      <c r="A45" s="12"/>
      <c r="B45" s="12"/>
      <c r="C45" s="12"/>
      <c r="D45" s="12"/>
      <c r="E45" s="23" t="str">
        <f>IFERROR(VLOOKUP(D45,'Legenda &amp; Referensi'!$A$6:$D$46,2,0),"")</f>
        <v/>
      </c>
      <c r="F45" s="12"/>
      <c r="G45" s="23" t="str">
        <f>IFERROR(VLOOKUP(D45,'Legenda &amp; Referensi'!$A$6:$D$46,4,0),"")</f>
        <v/>
      </c>
      <c r="H45" s="12"/>
      <c r="I45" s="12"/>
      <c r="J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dataValidations>
    <dataValidation type="list" allowBlank="1" sqref="D6:D45">
      <formula1>'Legenda &amp; Referensi'!$A$6:$A$46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3" width="12.0"/>
    <col customWidth="1" min="4" max="4" width="20.0"/>
    <col customWidth="1" min="5" max="5" width="18.0"/>
    <col customWidth="1" min="6" max="6" width="20.0"/>
    <col customWidth="1" min="7" max="7" width="12.0"/>
    <col customWidth="1" min="8" max="8" width="16.0"/>
    <col customWidth="1" min="9" max="9" width="18.0"/>
    <col customWidth="1" min="10" max="10" width="26.0"/>
    <col customWidth="1" min="11" max="26" width="8.71"/>
  </cols>
  <sheetData>
    <row r="1">
      <c r="A1" s="1" t="s">
        <v>250</v>
      </c>
    </row>
    <row r="2">
      <c r="A2" s="3" t="s">
        <v>5</v>
      </c>
    </row>
    <row r="3">
      <c r="A3" s="5" t="s">
        <v>251</v>
      </c>
    </row>
    <row r="5">
      <c r="A5" s="6" t="s">
        <v>8</v>
      </c>
      <c r="B5" s="6" t="s">
        <v>10</v>
      </c>
      <c r="C5" s="6" t="s">
        <v>155</v>
      </c>
      <c r="D5" s="6" t="s">
        <v>156</v>
      </c>
      <c r="E5" s="6" t="s">
        <v>252</v>
      </c>
      <c r="F5" s="6" t="s">
        <v>15</v>
      </c>
      <c r="G5" s="6" t="s">
        <v>253</v>
      </c>
      <c r="H5" s="6" t="s">
        <v>254</v>
      </c>
      <c r="I5" s="6" t="s">
        <v>255</v>
      </c>
      <c r="J5" s="6" t="s">
        <v>20</v>
      </c>
    </row>
    <row r="6">
      <c r="A6" s="12"/>
      <c r="B6" s="12"/>
      <c r="C6" s="16" t="s">
        <v>157</v>
      </c>
      <c r="D6" s="23" t="str">
        <f>IFERROR(VLOOKUP(C6,'Legenda &amp; Referensi'!$A$51:$B$58,2,0),"")</f>
        <v>Controller Kit</v>
      </c>
      <c r="E6" s="12"/>
      <c r="F6" s="23" t="str">
        <f>IFERROR(VLOOKUP(E6,'Legenda &amp; Referensi'!$A$6:$D$40,2,0),"")</f>
        <v/>
      </c>
      <c r="G6" s="12"/>
      <c r="H6" s="12"/>
      <c r="I6" s="12"/>
      <c r="J6" s="12"/>
    </row>
    <row r="7">
      <c r="A7" s="12"/>
      <c r="B7" s="12"/>
      <c r="C7" s="12"/>
      <c r="D7" s="23" t="str">
        <f>IFERROR(VLOOKUP(C7,'Legenda &amp; Referensi'!$A$51:$B$58,2,0),"")</f>
        <v/>
      </c>
      <c r="E7" s="12"/>
      <c r="F7" s="23" t="str">
        <f>IFERROR(VLOOKUP(E7,'Legenda &amp; Referensi'!$A$6:$D$40,2,0),"")</f>
        <v/>
      </c>
      <c r="G7" s="12"/>
      <c r="H7" s="12"/>
      <c r="I7" s="12"/>
      <c r="J7" s="12"/>
    </row>
    <row r="8">
      <c r="A8" s="12"/>
      <c r="B8" s="12"/>
      <c r="C8" s="12"/>
      <c r="D8" s="23" t="str">
        <f>IFERROR(VLOOKUP(C8,'Legenda &amp; Referensi'!$A$51:$B$58,2,0),"")</f>
        <v/>
      </c>
      <c r="E8" s="12"/>
      <c r="F8" s="23" t="str">
        <f>IFERROR(VLOOKUP(E8,'Legenda &amp; Referensi'!$A$6:$D$40,2,0),"")</f>
        <v/>
      </c>
      <c r="G8" s="12"/>
      <c r="H8" s="12"/>
      <c r="I8" s="12"/>
      <c r="J8" s="12"/>
    </row>
    <row r="9">
      <c r="A9" s="12"/>
      <c r="B9" s="12"/>
      <c r="C9" s="12"/>
      <c r="D9" s="23" t="str">
        <f>IFERROR(VLOOKUP(C9,'Legenda &amp; Referensi'!$A$51:$B$58,2,0),"")</f>
        <v/>
      </c>
      <c r="E9" s="12"/>
      <c r="F9" s="23" t="str">
        <f>IFERROR(VLOOKUP(E9,'Legenda &amp; Referensi'!$A$6:$D$40,2,0),"")</f>
        <v/>
      </c>
      <c r="G9" s="12"/>
      <c r="H9" s="12"/>
      <c r="I9" s="12"/>
      <c r="J9" s="12"/>
    </row>
    <row r="10">
      <c r="A10" s="12"/>
      <c r="B10" s="12"/>
      <c r="C10" s="12"/>
      <c r="D10" s="23" t="str">
        <f>IFERROR(VLOOKUP(C10,'Legenda &amp; Referensi'!$A$51:$B$58,2,0),"")</f>
        <v/>
      </c>
      <c r="E10" s="12"/>
      <c r="F10" s="23" t="str">
        <f>IFERROR(VLOOKUP(E10,'Legenda &amp; Referensi'!$A$6:$D$40,2,0),"")</f>
        <v/>
      </c>
      <c r="G10" s="12"/>
      <c r="H10" s="12"/>
      <c r="I10" s="12"/>
      <c r="J10" s="12"/>
    </row>
    <row r="11">
      <c r="A11" s="12"/>
      <c r="B11" s="12"/>
      <c r="C11" s="12"/>
      <c r="D11" s="23" t="str">
        <f>IFERROR(VLOOKUP(C11,'Legenda &amp; Referensi'!$A$51:$B$58,2,0),"")</f>
        <v/>
      </c>
      <c r="E11" s="12"/>
      <c r="F11" s="23" t="str">
        <f>IFERROR(VLOOKUP(E11,'Legenda &amp; Referensi'!$A$6:$D$40,2,0),"")</f>
        <v/>
      </c>
      <c r="G11" s="12"/>
      <c r="H11" s="12"/>
      <c r="I11" s="12"/>
      <c r="J11" s="12"/>
    </row>
    <row r="12">
      <c r="A12" s="12"/>
      <c r="B12" s="12"/>
      <c r="C12" s="12"/>
      <c r="D12" s="23" t="str">
        <f>IFERROR(VLOOKUP(C12,'Legenda &amp; Referensi'!$A$51:$B$58,2,0),"")</f>
        <v/>
      </c>
      <c r="E12" s="12"/>
      <c r="F12" s="23" t="str">
        <f>IFERROR(VLOOKUP(E12,'Legenda &amp; Referensi'!$A$6:$D$40,2,0),"")</f>
        <v/>
      </c>
      <c r="G12" s="12"/>
      <c r="H12" s="12"/>
      <c r="I12" s="12"/>
      <c r="J12" s="12"/>
    </row>
    <row r="13">
      <c r="A13" s="12"/>
      <c r="B13" s="12"/>
      <c r="C13" s="12"/>
      <c r="D13" s="23" t="str">
        <f>IFERROR(VLOOKUP(C13,'Legenda &amp; Referensi'!$A$51:$B$58,2,0),"")</f>
        <v/>
      </c>
      <c r="E13" s="12"/>
      <c r="F13" s="23" t="str">
        <f>IFERROR(VLOOKUP(E13,'Legenda &amp; Referensi'!$A$6:$D$40,2,0),"")</f>
        <v/>
      </c>
      <c r="G13" s="12"/>
      <c r="H13" s="12"/>
      <c r="I13" s="12"/>
      <c r="J13" s="12"/>
    </row>
    <row r="14">
      <c r="A14" s="12"/>
      <c r="B14" s="12"/>
      <c r="C14" s="12"/>
      <c r="D14" s="23" t="str">
        <f>IFERROR(VLOOKUP(C14,'Legenda &amp; Referensi'!$A$51:$B$58,2,0),"")</f>
        <v/>
      </c>
      <c r="E14" s="12"/>
      <c r="F14" s="23" t="str">
        <f>IFERROR(VLOOKUP(E14,'Legenda &amp; Referensi'!$A$6:$D$40,2,0),"")</f>
        <v/>
      </c>
      <c r="G14" s="12"/>
      <c r="H14" s="12"/>
      <c r="I14" s="12"/>
      <c r="J14" s="12"/>
    </row>
    <row r="15">
      <c r="A15" s="12"/>
      <c r="B15" s="12"/>
      <c r="C15" s="12"/>
      <c r="D15" s="23" t="str">
        <f>IFERROR(VLOOKUP(C15,'Legenda &amp; Referensi'!$A$51:$B$58,2,0),"")</f>
        <v/>
      </c>
      <c r="E15" s="12"/>
      <c r="F15" s="23" t="str">
        <f>IFERROR(VLOOKUP(E15,'Legenda &amp; Referensi'!$A$6:$D$40,2,0),"")</f>
        <v/>
      </c>
      <c r="G15" s="12"/>
      <c r="H15" s="12"/>
      <c r="I15" s="12"/>
      <c r="J15" s="12"/>
    </row>
    <row r="16">
      <c r="A16" s="12"/>
      <c r="B16" s="12"/>
      <c r="C16" s="12"/>
      <c r="D16" s="23" t="str">
        <f>IFERROR(VLOOKUP(C16,'Legenda &amp; Referensi'!$A$51:$B$58,2,0),"")</f>
        <v/>
      </c>
      <c r="E16" s="12"/>
      <c r="F16" s="23" t="str">
        <f>IFERROR(VLOOKUP(E16,'Legenda &amp; Referensi'!$A$6:$D$40,2,0),"")</f>
        <v/>
      </c>
      <c r="G16" s="12"/>
      <c r="H16" s="12"/>
      <c r="I16" s="12"/>
      <c r="J16" s="12"/>
    </row>
    <row r="17">
      <c r="A17" s="12"/>
      <c r="B17" s="12"/>
      <c r="C17" s="12"/>
      <c r="D17" s="23" t="str">
        <f>IFERROR(VLOOKUP(C17,'Legenda &amp; Referensi'!$A$51:$B$58,2,0),"")</f>
        <v/>
      </c>
      <c r="E17" s="12"/>
      <c r="F17" s="23" t="str">
        <f>IFERROR(VLOOKUP(E17,'Legenda &amp; Referensi'!$A$6:$D$40,2,0),"")</f>
        <v/>
      </c>
      <c r="G17" s="12"/>
      <c r="H17" s="12"/>
      <c r="I17" s="12"/>
      <c r="J17" s="12"/>
    </row>
    <row r="18">
      <c r="A18" s="12"/>
      <c r="B18" s="12"/>
      <c r="C18" s="12"/>
      <c r="D18" s="23" t="str">
        <f>IFERROR(VLOOKUP(C18,'Legenda &amp; Referensi'!$A$51:$B$58,2,0),"")</f>
        <v/>
      </c>
      <c r="E18" s="12"/>
      <c r="F18" s="23" t="str">
        <f>IFERROR(VLOOKUP(E18,'Legenda &amp; Referensi'!$A$6:$D$40,2,0),"")</f>
        <v/>
      </c>
      <c r="G18" s="12"/>
      <c r="H18" s="12"/>
      <c r="I18" s="12"/>
      <c r="J18" s="12"/>
    </row>
    <row r="19">
      <c r="A19" s="12"/>
      <c r="B19" s="12"/>
      <c r="C19" s="12"/>
      <c r="D19" s="23" t="str">
        <f>IFERROR(VLOOKUP(C19,'Legenda &amp; Referensi'!$A$51:$B$58,2,0),"")</f>
        <v/>
      </c>
      <c r="E19" s="12"/>
      <c r="F19" s="23" t="str">
        <f>IFERROR(VLOOKUP(E19,'Legenda &amp; Referensi'!$A$6:$D$40,2,0),"")</f>
        <v/>
      </c>
      <c r="G19" s="12"/>
      <c r="H19" s="12"/>
      <c r="I19" s="12"/>
      <c r="J19" s="12"/>
    </row>
    <row r="20">
      <c r="A20" s="12"/>
      <c r="B20" s="12"/>
      <c r="C20" s="12"/>
      <c r="D20" s="23" t="str">
        <f>IFERROR(VLOOKUP(C20,'Legenda &amp; Referensi'!$A$51:$B$58,2,0),"")</f>
        <v/>
      </c>
      <c r="E20" s="12"/>
      <c r="F20" s="23" t="str">
        <f>IFERROR(VLOOKUP(E20,'Legenda &amp; Referensi'!$A$6:$D$40,2,0),"")</f>
        <v/>
      </c>
      <c r="G20" s="12"/>
      <c r="H20" s="12"/>
      <c r="I20" s="12"/>
      <c r="J20" s="12"/>
    </row>
    <row r="21" ht="15.75" customHeight="1">
      <c r="A21" s="12"/>
      <c r="B21" s="12"/>
      <c r="C21" s="12"/>
      <c r="D21" s="23" t="str">
        <f>IFERROR(VLOOKUP(C21,'Legenda &amp; Referensi'!$A$51:$B$58,2,0),"")</f>
        <v/>
      </c>
      <c r="E21" s="12"/>
      <c r="F21" s="23" t="str">
        <f>IFERROR(VLOOKUP(E21,'Legenda &amp; Referensi'!$A$6:$D$40,2,0),"")</f>
        <v/>
      </c>
      <c r="G21" s="12"/>
      <c r="H21" s="12"/>
      <c r="I21" s="12"/>
      <c r="J21" s="12"/>
    </row>
    <row r="22" ht="15.75" customHeight="1">
      <c r="A22" s="12"/>
      <c r="B22" s="12"/>
      <c r="C22" s="12"/>
      <c r="D22" s="23" t="str">
        <f>IFERROR(VLOOKUP(C22,'Legenda &amp; Referensi'!$A$51:$B$58,2,0),"")</f>
        <v/>
      </c>
      <c r="E22" s="12"/>
      <c r="F22" s="23" t="str">
        <f>IFERROR(VLOOKUP(E22,'Legenda &amp; Referensi'!$A$6:$D$40,2,0),"")</f>
        <v/>
      </c>
      <c r="G22" s="12"/>
      <c r="H22" s="12"/>
      <c r="I22" s="12"/>
      <c r="J22" s="12"/>
    </row>
    <row r="23" ht="15.75" customHeight="1">
      <c r="A23" s="12"/>
      <c r="B23" s="12"/>
      <c r="C23" s="12"/>
      <c r="D23" s="23" t="str">
        <f>IFERROR(VLOOKUP(C23,'Legenda &amp; Referensi'!$A$51:$B$58,2,0),"")</f>
        <v/>
      </c>
      <c r="E23" s="12"/>
      <c r="F23" s="23" t="str">
        <f>IFERROR(VLOOKUP(E23,'Legenda &amp; Referensi'!$A$6:$D$40,2,0),"")</f>
        <v/>
      </c>
      <c r="G23" s="12"/>
      <c r="H23" s="12"/>
      <c r="I23" s="12"/>
      <c r="J23" s="12"/>
    </row>
    <row r="24" ht="15.75" customHeight="1">
      <c r="A24" s="12"/>
      <c r="B24" s="12"/>
      <c r="C24" s="12"/>
      <c r="D24" s="23" t="str">
        <f>IFERROR(VLOOKUP(C24,'Legenda &amp; Referensi'!$A$51:$B$58,2,0),"")</f>
        <v/>
      </c>
      <c r="E24" s="12"/>
      <c r="F24" s="23" t="str">
        <f>IFERROR(VLOOKUP(E24,'Legenda &amp; Referensi'!$A$6:$D$40,2,0),"")</f>
        <v/>
      </c>
      <c r="G24" s="12"/>
      <c r="H24" s="12"/>
      <c r="I24" s="12"/>
      <c r="J24" s="12"/>
    </row>
    <row r="25" ht="15.75" customHeight="1">
      <c r="A25" s="12"/>
      <c r="B25" s="12"/>
      <c r="C25" s="12"/>
      <c r="D25" s="23" t="str">
        <f>IFERROR(VLOOKUP(C25,'Legenda &amp; Referensi'!$A$51:$B$58,2,0),"")</f>
        <v/>
      </c>
      <c r="E25" s="12"/>
      <c r="F25" s="23" t="str">
        <f>IFERROR(VLOOKUP(E25,'Legenda &amp; Referensi'!$A$6:$D$40,2,0),"")</f>
        <v/>
      </c>
      <c r="G25" s="12"/>
      <c r="H25" s="12"/>
      <c r="I25" s="12"/>
      <c r="J25" s="12"/>
    </row>
    <row r="26" ht="15.75" customHeight="1">
      <c r="A26" s="12"/>
      <c r="B26" s="12"/>
      <c r="C26" s="12"/>
      <c r="D26" s="23" t="str">
        <f>IFERROR(VLOOKUP(C26,'Legenda &amp; Referensi'!$A$51:$B$58,2,0),"")</f>
        <v/>
      </c>
      <c r="E26" s="12"/>
      <c r="F26" s="23" t="str">
        <f>IFERROR(VLOOKUP(E26,'Legenda &amp; Referensi'!$A$6:$D$40,2,0),"")</f>
        <v/>
      </c>
      <c r="G26" s="12"/>
      <c r="H26" s="12"/>
      <c r="I26" s="12"/>
      <c r="J26" s="12"/>
    </row>
    <row r="27" ht="15.75" customHeight="1">
      <c r="A27" s="12"/>
      <c r="B27" s="12"/>
      <c r="C27" s="12"/>
      <c r="D27" s="23" t="str">
        <f>IFERROR(VLOOKUP(C27,'Legenda &amp; Referensi'!$A$51:$B$58,2,0),"")</f>
        <v/>
      </c>
      <c r="E27" s="12"/>
      <c r="F27" s="23" t="str">
        <f>IFERROR(VLOOKUP(E27,'Legenda &amp; Referensi'!$A$6:$D$40,2,0),"")</f>
        <v/>
      </c>
      <c r="G27" s="12"/>
      <c r="H27" s="12"/>
      <c r="I27" s="12"/>
      <c r="J27" s="12"/>
    </row>
    <row r="28" ht="15.75" customHeight="1">
      <c r="A28" s="12"/>
      <c r="B28" s="12"/>
      <c r="C28" s="12"/>
      <c r="D28" s="23" t="str">
        <f>IFERROR(VLOOKUP(C28,'Legenda &amp; Referensi'!$A$51:$B$58,2,0),"")</f>
        <v/>
      </c>
      <c r="E28" s="12"/>
      <c r="F28" s="23" t="str">
        <f>IFERROR(VLOOKUP(E28,'Legenda &amp; Referensi'!$A$6:$D$40,2,0),"")</f>
        <v/>
      </c>
      <c r="G28" s="12"/>
      <c r="H28" s="12"/>
      <c r="I28" s="12"/>
      <c r="J28" s="12"/>
    </row>
    <row r="29" ht="15.75" customHeight="1">
      <c r="A29" s="12"/>
      <c r="B29" s="12"/>
      <c r="C29" s="12"/>
      <c r="D29" s="23" t="str">
        <f>IFERROR(VLOOKUP(C29,'Legenda &amp; Referensi'!$A$51:$B$58,2,0),"")</f>
        <v/>
      </c>
      <c r="E29" s="12"/>
      <c r="F29" s="23" t="str">
        <f>IFERROR(VLOOKUP(E29,'Legenda &amp; Referensi'!$A$6:$D$40,2,0),"")</f>
        <v/>
      </c>
      <c r="G29" s="12"/>
      <c r="H29" s="12"/>
      <c r="I29" s="12"/>
      <c r="J29" s="12"/>
    </row>
    <row r="30" ht="15.75" customHeight="1">
      <c r="A30" s="12"/>
      <c r="B30" s="12"/>
      <c r="C30" s="12"/>
      <c r="D30" s="23" t="str">
        <f>IFERROR(VLOOKUP(C30,'Legenda &amp; Referensi'!$A$51:$B$58,2,0),"")</f>
        <v/>
      </c>
      <c r="E30" s="12"/>
      <c r="F30" s="23" t="str">
        <f>IFERROR(VLOOKUP(E30,'Legenda &amp; Referensi'!$A$6:$D$40,2,0),"")</f>
        <v/>
      </c>
      <c r="G30" s="12"/>
      <c r="H30" s="12"/>
      <c r="I30" s="12"/>
      <c r="J30" s="12"/>
    </row>
    <row r="31" ht="15.75" customHeight="1">
      <c r="A31" s="12"/>
      <c r="B31" s="12"/>
      <c r="C31" s="12"/>
      <c r="D31" s="23" t="str">
        <f>IFERROR(VLOOKUP(C31,'Legenda &amp; Referensi'!$A$51:$B$58,2,0),"")</f>
        <v/>
      </c>
      <c r="E31" s="12"/>
      <c r="F31" s="23" t="str">
        <f>IFERROR(VLOOKUP(E31,'Legenda &amp; Referensi'!$A$6:$D$40,2,0),"")</f>
        <v/>
      </c>
      <c r="G31" s="12"/>
      <c r="H31" s="12"/>
      <c r="I31" s="12"/>
      <c r="J31" s="12"/>
    </row>
    <row r="32" ht="15.75" customHeight="1">
      <c r="A32" s="12"/>
      <c r="B32" s="12"/>
      <c r="C32" s="12"/>
      <c r="D32" s="23" t="str">
        <f>IFERROR(VLOOKUP(C32,'Legenda &amp; Referensi'!$A$51:$B$58,2,0),"")</f>
        <v/>
      </c>
      <c r="E32" s="12"/>
      <c r="F32" s="23" t="str">
        <f>IFERROR(VLOOKUP(E32,'Legenda &amp; Referensi'!$A$6:$D$40,2,0),"")</f>
        <v/>
      </c>
      <c r="G32" s="12"/>
      <c r="H32" s="12"/>
      <c r="I32" s="12"/>
      <c r="J32" s="12"/>
    </row>
    <row r="33" ht="15.75" customHeight="1">
      <c r="A33" s="12"/>
      <c r="B33" s="12"/>
      <c r="C33" s="12"/>
      <c r="D33" s="23" t="str">
        <f>IFERROR(VLOOKUP(C33,'Legenda &amp; Referensi'!$A$51:$B$58,2,0),"")</f>
        <v/>
      </c>
      <c r="E33" s="12"/>
      <c r="F33" s="23" t="str">
        <f>IFERROR(VLOOKUP(E33,'Legenda &amp; Referensi'!$A$6:$D$40,2,0),"")</f>
        <v/>
      </c>
      <c r="G33" s="12"/>
      <c r="H33" s="12"/>
      <c r="I33" s="12"/>
      <c r="J33" s="12"/>
    </row>
    <row r="34" ht="15.75" customHeight="1">
      <c r="A34" s="12"/>
      <c r="B34" s="12"/>
      <c r="C34" s="12"/>
      <c r="D34" s="23" t="str">
        <f>IFERROR(VLOOKUP(C34,'Legenda &amp; Referensi'!$A$51:$B$58,2,0),"")</f>
        <v/>
      </c>
      <c r="E34" s="12"/>
      <c r="F34" s="23" t="str">
        <f>IFERROR(VLOOKUP(E34,'Legenda &amp; Referensi'!$A$6:$D$40,2,0),"")</f>
        <v/>
      </c>
      <c r="G34" s="12"/>
      <c r="H34" s="12"/>
      <c r="I34" s="12"/>
      <c r="J34" s="12"/>
    </row>
    <row r="35" ht="15.75" customHeight="1">
      <c r="A35" s="12"/>
      <c r="B35" s="12"/>
      <c r="C35" s="12"/>
      <c r="D35" s="23" t="str">
        <f>IFERROR(VLOOKUP(C35,'Legenda &amp; Referensi'!$A$51:$B$58,2,0),"")</f>
        <v/>
      </c>
      <c r="E35" s="12"/>
      <c r="F35" s="23" t="str">
        <f>IFERROR(VLOOKUP(E35,'Legenda &amp; Referensi'!$A$6:$D$40,2,0),"")</f>
        <v/>
      </c>
      <c r="G35" s="12"/>
      <c r="H35" s="12"/>
      <c r="I35" s="12"/>
      <c r="J35" s="12"/>
    </row>
    <row r="36" ht="15.75" customHeight="1">
      <c r="A36" s="12"/>
      <c r="B36" s="12"/>
      <c r="C36" s="12"/>
      <c r="D36" s="23" t="str">
        <f>IFERROR(VLOOKUP(C36,'Legenda &amp; Referensi'!$A$51:$B$58,2,0),"")</f>
        <v/>
      </c>
      <c r="E36" s="12"/>
      <c r="F36" s="23" t="str">
        <f>IFERROR(VLOOKUP(E36,'Legenda &amp; Referensi'!$A$6:$D$40,2,0),"")</f>
        <v/>
      </c>
      <c r="G36" s="12"/>
      <c r="H36" s="12"/>
      <c r="I36" s="12"/>
      <c r="J36" s="12"/>
    </row>
    <row r="37" ht="15.75" customHeight="1">
      <c r="A37" s="12"/>
      <c r="B37" s="12"/>
      <c r="C37" s="12"/>
      <c r="D37" s="23" t="str">
        <f>IFERROR(VLOOKUP(C37,'Legenda &amp; Referensi'!$A$51:$B$58,2,0),"")</f>
        <v/>
      </c>
      <c r="E37" s="12"/>
      <c r="F37" s="23" t="str">
        <f>IFERROR(VLOOKUP(E37,'Legenda &amp; Referensi'!$A$6:$D$40,2,0),"")</f>
        <v/>
      </c>
      <c r="G37" s="12"/>
      <c r="H37" s="12"/>
      <c r="I37" s="12"/>
      <c r="J37" s="12"/>
    </row>
    <row r="38" ht="15.75" customHeight="1">
      <c r="A38" s="12"/>
      <c r="B38" s="12"/>
      <c r="C38" s="12"/>
      <c r="D38" s="23" t="str">
        <f>IFERROR(VLOOKUP(C38,'Legenda &amp; Referensi'!$A$51:$B$58,2,0),"")</f>
        <v/>
      </c>
      <c r="E38" s="12"/>
      <c r="F38" s="23" t="str">
        <f>IFERROR(VLOOKUP(E38,'Legenda &amp; Referensi'!$A$6:$D$40,2,0),"")</f>
        <v/>
      </c>
      <c r="G38" s="12"/>
      <c r="H38" s="12"/>
      <c r="I38" s="12"/>
      <c r="J38" s="12"/>
    </row>
    <row r="39" ht="15.75" customHeight="1">
      <c r="A39" s="12"/>
      <c r="B39" s="12"/>
      <c r="C39" s="12"/>
      <c r="D39" s="23" t="str">
        <f>IFERROR(VLOOKUP(C39,'Legenda &amp; Referensi'!$A$51:$B$58,2,0),"")</f>
        <v/>
      </c>
      <c r="E39" s="12"/>
      <c r="F39" s="23" t="str">
        <f>IFERROR(VLOOKUP(E39,'Legenda &amp; Referensi'!$A$6:$D$40,2,0),"")</f>
        <v/>
      </c>
      <c r="G39" s="12"/>
      <c r="H39" s="12"/>
      <c r="I39" s="12"/>
      <c r="J39" s="12"/>
    </row>
    <row r="40" ht="15.75" customHeight="1">
      <c r="A40" s="12"/>
      <c r="B40" s="12"/>
      <c r="C40" s="12"/>
      <c r="D40" s="23" t="str">
        <f>IFERROR(VLOOKUP(C40,'Legenda &amp; Referensi'!$A$51:$B$58,2,0),"")</f>
        <v/>
      </c>
      <c r="E40" s="12"/>
      <c r="F40" s="23" t="str">
        <f>IFERROR(VLOOKUP(E40,'Legenda &amp; Referensi'!$A$6:$D$40,2,0),"")</f>
        <v/>
      </c>
      <c r="G40" s="12"/>
      <c r="H40" s="12"/>
      <c r="I40" s="12"/>
      <c r="J40" s="12"/>
    </row>
    <row r="41" ht="15.75" customHeight="1">
      <c r="A41" s="12"/>
      <c r="B41" s="12"/>
      <c r="C41" s="12"/>
      <c r="D41" s="23" t="str">
        <f>IFERROR(VLOOKUP(C41,'Legenda &amp; Referensi'!$A$51:$B$58,2,0),"")</f>
        <v/>
      </c>
      <c r="E41" s="12"/>
      <c r="F41" s="23" t="str">
        <f>IFERROR(VLOOKUP(E41,'Legenda &amp; Referensi'!$A$6:$D$40,2,0),"")</f>
        <v/>
      </c>
      <c r="G41" s="12"/>
      <c r="H41" s="12"/>
      <c r="I41" s="12"/>
      <c r="J41" s="12"/>
    </row>
    <row r="42" ht="15.75" customHeight="1">
      <c r="A42" s="12"/>
      <c r="B42" s="12"/>
      <c r="C42" s="12"/>
      <c r="D42" s="23" t="str">
        <f>IFERROR(VLOOKUP(C42,'Legenda &amp; Referensi'!$A$51:$B$58,2,0),"")</f>
        <v/>
      </c>
      <c r="E42" s="12"/>
      <c r="F42" s="23" t="str">
        <f>IFERROR(VLOOKUP(E42,'Legenda &amp; Referensi'!$A$6:$D$40,2,0),"")</f>
        <v/>
      </c>
      <c r="G42" s="12"/>
      <c r="H42" s="12"/>
      <c r="I42" s="12"/>
      <c r="J42" s="12"/>
    </row>
    <row r="43" ht="15.75" customHeight="1">
      <c r="A43" s="12"/>
      <c r="B43" s="12"/>
      <c r="C43" s="12"/>
      <c r="D43" s="23" t="str">
        <f>IFERROR(VLOOKUP(C43,'Legenda &amp; Referensi'!$A$51:$B$58,2,0),"")</f>
        <v/>
      </c>
      <c r="E43" s="12"/>
      <c r="F43" s="23" t="str">
        <f>IFERROR(VLOOKUP(E43,'Legenda &amp; Referensi'!$A$6:$D$40,2,0),"")</f>
        <v/>
      </c>
      <c r="G43" s="12"/>
      <c r="H43" s="12"/>
      <c r="I43" s="12"/>
      <c r="J43" s="12"/>
    </row>
    <row r="44" ht="15.75" customHeight="1">
      <c r="A44" s="12"/>
      <c r="B44" s="12"/>
      <c r="C44" s="12"/>
      <c r="D44" s="23" t="str">
        <f>IFERROR(VLOOKUP(C44,'Legenda &amp; Referensi'!$A$51:$B$58,2,0),"")</f>
        <v/>
      </c>
      <c r="E44" s="12"/>
      <c r="F44" s="23" t="str">
        <f>IFERROR(VLOOKUP(E44,'Legenda &amp; Referensi'!$A$6:$D$40,2,0),"")</f>
        <v/>
      </c>
      <c r="G44" s="12"/>
      <c r="H44" s="12"/>
      <c r="I44" s="12"/>
      <c r="J44" s="12"/>
    </row>
    <row r="45" ht="15.75" customHeight="1">
      <c r="A45" s="12"/>
      <c r="B45" s="12"/>
      <c r="C45" s="12"/>
      <c r="D45" s="23" t="str">
        <f>IFERROR(VLOOKUP(C45,'Legenda &amp; Referensi'!$A$51:$B$58,2,0),"")</f>
        <v/>
      </c>
      <c r="E45" s="12"/>
      <c r="F45" s="23" t="str">
        <f>IFERROR(VLOOKUP(E45,'Legenda &amp; Referensi'!$A$6:$D$40,2,0),"")</f>
        <v/>
      </c>
      <c r="G45" s="12"/>
      <c r="H45" s="12"/>
      <c r="I45" s="12"/>
      <c r="J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dataValidations>
    <dataValidation type="list" allowBlank="1" sqref="C6:C45">
      <formula1>'Legenda &amp; Referensi'!$A$51:$A$58</formula1>
    </dataValidation>
    <dataValidation type="list" allowBlank="1" sqref="E6:E45">
      <formula1>'Legenda &amp; Referensi'!$A$6:$A$40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3" width="12.0"/>
    <col customWidth="1" min="4" max="4" width="20.0"/>
    <col customWidth="1" min="5" max="5" width="18.0"/>
    <col customWidth="1" min="6" max="6" width="14.0"/>
    <col customWidth="1" min="7" max="7" width="30.0"/>
    <col customWidth="1" min="8" max="8" width="18.0"/>
    <col customWidth="1" min="9" max="9" width="26.0"/>
    <col customWidth="1" min="10" max="26" width="8.71"/>
  </cols>
  <sheetData>
    <row r="1">
      <c r="A1" s="1" t="s">
        <v>256</v>
      </c>
    </row>
    <row r="2">
      <c r="A2" s="3" t="s">
        <v>5</v>
      </c>
    </row>
    <row r="3">
      <c r="A3" s="5" t="s">
        <v>257</v>
      </c>
    </row>
    <row r="5">
      <c r="A5" s="6" t="s">
        <v>8</v>
      </c>
      <c r="B5" s="6" t="s">
        <v>10</v>
      </c>
      <c r="C5" s="6" t="s">
        <v>155</v>
      </c>
      <c r="D5" s="6" t="s">
        <v>156</v>
      </c>
      <c r="E5" s="6" t="s">
        <v>258</v>
      </c>
      <c r="F5" s="6" t="s">
        <v>259</v>
      </c>
      <c r="G5" s="6" t="s">
        <v>260</v>
      </c>
      <c r="H5" s="6" t="s">
        <v>261</v>
      </c>
      <c r="I5" s="6" t="s">
        <v>20</v>
      </c>
    </row>
    <row r="6">
      <c r="A6" s="12"/>
      <c r="B6" s="12"/>
      <c r="C6" s="12"/>
      <c r="D6" s="23" t="str">
        <f>IFERROR(VLOOKUP(C6,'Legenda &amp; Referensi'!$A$51:$B$58,2,0),"")</f>
        <v/>
      </c>
      <c r="E6" s="12"/>
      <c r="F6" s="12"/>
      <c r="G6" s="12"/>
      <c r="H6" s="12"/>
      <c r="I6" s="12"/>
    </row>
    <row r="7">
      <c r="A7" s="12"/>
      <c r="B7" s="12"/>
      <c r="C7" s="12"/>
      <c r="D7" s="23" t="str">
        <f>IFERROR(VLOOKUP(C7,'Legenda &amp; Referensi'!$A$51:$B$58,2,0),"")</f>
        <v/>
      </c>
      <c r="E7" s="12"/>
      <c r="F7" s="12"/>
      <c r="G7" s="12"/>
      <c r="H7" s="12"/>
      <c r="I7" s="12"/>
    </row>
    <row r="8">
      <c r="A8" s="12"/>
      <c r="B8" s="12"/>
      <c r="C8" s="12"/>
      <c r="D8" s="23" t="str">
        <f>IFERROR(VLOOKUP(C8,'Legenda &amp; Referensi'!$A$51:$B$58,2,0),"")</f>
        <v/>
      </c>
      <c r="E8" s="12"/>
      <c r="F8" s="12"/>
      <c r="G8" s="12"/>
      <c r="H8" s="12"/>
      <c r="I8" s="12"/>
    </row>
    <row r="9">
      <c r="A9" s="12"/>
      <c r="B9" s="12"/>
      <c r="C9" s="12"/>
      <c r="D9" s="23" t="str">
        <f>IFERROR(VLOOKUP(C9,'Legenda &amp; Referensi'!$A$51:$B$58,2,0),"")</f>
        <v/>
      </c>
      <c r="E9" s="12"/>
      <c r="F9" s="12"/>
      <c r="G9" s="12"/>
      <c r="H9" s="12"/>
      <c r="I9" s="12"/>
    </row>
    <row r="10">
      <c r="A10" s="12"/>
      <c r="B10" s="12"/>
      <c r="C10" s="12"/>
      <c r="D10" s="23" t="str">
        <f>IFERROR(VLOOKUP(C10,'Legenda &amp; Referensi'!$A$51:$B$58,2,0),"")</f>
        <v/>
      </c>
      <c r="E10" s="12"/>
      <c r="F10" s="12"/>
      <c r="G10" s="12"/>
      <c r="H10" s="12"/>
      <c r="I10" s="12"/>
    </row>
    <row r="11">
      <c r="A11" s="12"/>
      <c r="B11" s="12"/>
      <c r="C11" s="12"/>
      <c r="D11" s="23" t="str">
        <f>IFERROR(VLOOKUP(C11,'Legenda &amp; Referensi'!$A$51:$B$58,2,0),"")</f>
        <v/>
      </c>
      <c r="E11" s="12"/>
      <c r="F11" s="12"/>
      <c r="G11" s="12"/>
      <c r="H11" s="12"/>
      <c r="I11" s="12"/>
    </row>
    <row r="12">
      <c r="A12" s="12"/>
      <c r="B12" s="12"/>
      <c r="C12" s="12"/>
      <c r="D12" s="23" t="str">
        <f>IFERROR(VLOOKUP(C12,'Legenda &amp; Referensi'!$A$51:$B$58,2,0),"")</f>
        <v/>
      </c>
      <c r="E12" s="12"/>
      <c r="F12" s="12"/>
      <c r="G12" s="12"/>
      <c r="H12" s="12"/>
      <c r="I12" s="12"/>
    </row>
    <row r="13">
      <c r="A13" s="12"/>
      <c r="B13" s="12"/>
      <c r="C13" s="12"/>
      <c r="D13" s="23" t="str">
        <f>IFERROR(VLOOKUP(C13,'Legenda &amp; Referensi'!$A$51:$B$58,2,0),"")</f>
        <v/>
      </c>
      <c r="E13" s="12"/>
      <c r="F13" s="12"/>
      <c r="G13" s="12"/>
      <c r="H13" s="12"/>
      <c r="I13" s="12"/>
    </row>
    <row r="14">
      <c r="A14" s="12"/>
      <c r="B14" s="12"/>
      <c r="C14" s="12"/>
      <c r="D14" s="23" t="str">
        <f>IFERROR(VLOOKUP(C14,'Legenda &amp; Referensi'!$A$51:$B$58,2,0),"")</f>
        <v/>
      </c>
      <c r="E14" s="12"/>
      <c r="F14" s="12"/>
      <c r="G14" s="12"/>
      <c r="H14" s="12"/>
      <c r="I14" s="12"/>
    </row>
    <row r="15">
      <c r="A15" s="12"/>
      <c r="B15" s="12"/>
      <c r="C15" s="12"/>
      <c r="D15" s="23" t="str">
        <f>IFERROR(VLOOKUP(C15,'Legenda &amp; Referensi'!$A$51:$B$58,2,0),"")</f>
        <v/>
      </c>
      <c r="E15" s="12"/>
      <c r="F15" s="12"/>
      <c r="G15" s="12"/>
      <c r="H15" s="12"/>
      <c r="I15" s="12"/>
    </row>
    <row r="16">
      <c r="A16" s="12"/>
      <c r="B16" s="12"/>
      <c r="C16" s="12"/>
      <c r="D16" s="23" t="str">
        <f>IFERROR(VLOOKUP(C16,'Legenda &amp; Referensi'!$A$51:$B$58,2,0),"")</f>
        <v/>
      </c>
      <c r="E16" s="12"/>
      <c r="F16" s="12"/>
      <c r="G16" s="12"/>
      <c r="H16" s="12"/>
      <c r="I16" s="12"/>
    </row>
    <row r="17">
      <c r="A17" s="12"/>
      <c r="B17" s="12"/>
      <c r="C17" s="12"/>
      <c r="D17" s="23" t="str">
        <f>IFERROR(VLOOKUP(C17,'Legenda &amp; Referensi'!$A$51:$B$58,2,0),"")</f>
        <v/>
      </c>
      <c r="E17" s="12"/>
      <c r="F17" s="12"/>
      <c r="G17" s="12"/>
      <c r="H17" s="12"/>
      <c r="I17" s="12"/>
    </row>
    <row r="18">
      <c r="A18" s="12"/>
      <c r="B18" s="12"/>
      <c r="C18" s="12"/>
      <c r="D18" s="23" t="str">
        <f>IFERROR(VLOOKUP(C18,'Legenda &amp; Referensi'!$A$51:$B$58,2,0),"")</f>
        <v/>
      </c>
      <c r="E18" s="12"/>
      <c r="F18" s="12"/>
      <c r="G18" s="12"/>
      <c r="H18" s="12"/>
      <c r="I18" s="12"/>
    </row>
    <row r="19">
      <c r="A19" s="12"/>
      <c r="B19" s="12"/>
      <c r="C19" s="12"/>
      <c r="D19" s="23" t="str">
        <f>IFERROR(VLOOKUP(C19,'Legenda &amp; Referensi'!$A$51:$B$58,2,0),"")</f>
        <v/>
      </c>
      <c r="E19" s="12"/>
      <c r="F19" s="12"/>
      <c r="G19" s="12"/>
      <c r="H19" s="12"/>
      <c r="I19" s="12"/>
    </row>
    <row r="20">
      <c r="A20" s="12"/>
      <c r="B20" s="12"/>
      <c r="C20" s="12"/>
      <c r="D20" s="23" t="str">
        <f>IFERROR(VLOOKUP(C20,'Legenda &amp; Referensi'!$A$51:$B$58,2,0),"")</f>
        <v/>
      </c>
      <c r="E20" s="12"/>
      <c r="F20" s="12"/>
      <c r="G20" s="12"/>
      <c r="H20" s="12"/>
      <c r="I20" s="12"/>
    </row>
    <row r="21" ht="15.75" customHeight="1">
      <c r="A21" s="12"/>
      <c r="B21" s="12"/>
      <c r="C21" s="12"/>
      <c r="D21" s="23" t="str">
        <f>IFERROR(VLOOKUP(C21,'Legenda &amp; Referensi'!$A$51:$B$58,2,0),"")</f>
        <v/>
      </c>
      <c r="E21" s="12"/>
      <c r="F21" s="12"/>
      <c r="G21" s="12"/>
      <c r="H21" s="12"/>
      <c r="I21" s="12"/>
    </row>
    <row r="22" ht="15.75" customHeight="1">
      <c r="A22" s="12"/>
      <c r="B22" s="12"/>
      <c r="C22" s="12"/>
      <c r="D22" s="23" t="str">
        <f>IFERROR(VLOOKUP(C22,'Legenda &amp; Referensi'!$A$51:$B$58,2,0),"")</f>
        <v/>
      </c>
      <c r="E22" s="12"/>
      <c r="F22" s="12"/>
      <c r="G22" s="12"/>
      <c r="H22" s="12"/>
      <c r="I22" s="12"/>
    </row>
    <row r="23" ht="15.75" customHeight="1">
      <c r="A23" s="12"/>
      <c r="B23" s="12"/>
      <c r="C23" s="12"/>
      <c r="D23" s="23" t="str">
        <f>IFERROR(VLOOKUP(C23,'Legenda &amp; Referensi'!$A$51:$B$58,2,0),"")</f>
        <v/>
      </c>
      <c r="E23" s="12"/>
      <c r="F23" s="12"/>
      <c r="G23" s="12"/>
      <c r="H23" s="12"/>
      <c r="I23" s="12"/>
    </row>
    <row r="24" ht="15.75" customHeight="1">
      <c r="A24" s="12"/>
      <c r="B24" s="12"/>
      <c r="C24" s="12"/>
      <c r="D24" s="23" t="str">
        <f>IFERROR(VLOOKUP(C24,'Legenda &amp; Referensi'!$A$51:$B$58,2,0),"")</f>
        <v/>
      </c>
      <c r="E24" s="12"/>
      <c r="F24" s="12"/>
      <c r="G24" s="12"/>
      <c r="H24" s="12"/>
      <c r="I24" s="12"/>
    </row>
    <row r="25" ht="15.75" customHeight="1">
      <c r="A25" s="12"/>
      <c r="B25" s="12"/>
      <c r="C25" s="12"/>
      <c r="D25" s="23" t="str">
        <f>IFERROR(VLOOKUP(C25,'Legenda &amp; Referensi'!$A$51:$B$58,2,0),"")</f>
        <v/>
      </c>
      <c r="E25" s="12"/>
      <c r="F25" s="12"/>
      <c r="G25" s="12"/>
      <c r="H25" s="12"/>
      <c r="I25" s="12"/>
    </row>
    <row r="26" ht="15.75" customHeight="1">
      <c r="A26" s="12"/>
      <c r="B26" s="12"/>
      <c r="C26" s="12"/>
      <c r="D26" s="23" t="str">
        <f>IFERROR(VLOOKUP(C26,'Legenda &amp; Referensi'!$A$51:$B$58,2,0),"")</f>
        <v/>
      </c>
      <c r="E26" s="12"/>
      <c r="F26" s="12"/>
      <c r="G26" s="12"/>
      <c r="H26" s="12"/>
      <c r="I26" s="12"/>
    </row>
    <row r="27" ht="15.75" customHeight="1">
      <c r="A27" s="12"/>
      <c r="B27" s="12"/>
      <c r="C27" s="12"/>
      <c r="D27" s="23" t="str">
        <f>IFERROR(VLOOKUP(C27,'Legenda &amp; Referensi'!$A$51:$B$58,2,0),"")</f>
        <v/>
      </c>
      <c r="E27" s="12"/>
      <c r="F27" s="12"/>
      <c r="G27" s="12"/>
      <c r="H27" s="12"/>
      <c r="I27" s="12"/>
    </row>
    <row r="28" ht="15.75" customHeight="1">
      <c r="A28" s="12"/>
      <c r="B28" s="12"/>
      <c r="C28" s="12"/>
      <c r="D28" s="23" t="str">
        <f>IFERROR(VLOOKUP(C28,'Legenda &amp; Referensi'!$A$51:$B$58,2,0),"")</f>
        <v/>
      </c>
      <c r="E28" s="12"/>
      <c r="F28" s="12"/>
      <c r="G28" s="12"/>
      <c r="H28" s="12"/>
      <c r="I28" s="12"/>
    </row>
    <row r="29" ht="15.75" customHeight="1">
      <c r="A29" s="12"/>
      <c r="B29" s="12"/>
      <c r="C29" s="12"/>
      <c r="D29" s="23" t="str">
        <f>IFERROR(VLOOKUP(C29,'Legenda &amp; Referensi'!$A$51:$B$58,2,0),"")</f>
        <v/>
      </c>
      <c r="E29" s="12"/>
      <c r="F29" s="12"/>
      <c r="G29" s="12"/>
      <c r="H29" s="12"/>
      <c r="I29" s="12"/>
    </row>
    <row r="30" ht="15.75" customHeight="1">
      <c r="A30" s="12"/>
      <c r="B30" s="12"/>
      <c r="C30" s="12"/>
      <c r="D30" s="23" t="str">
        <f>IFERROR(VLOOKUP(C30,'Legenda &amp; Referensi'!$A$51:$B$58,2,0),"")</f>
        <v/>
      </c>
      <c r="E30" s="12"/>
      <c r="F30" s="12"/>
      <c r="G30" s="12"/>
      <c r="H30" s="12"/>
      <c r="I30" s="12"/>
    </row>
    <row r="31" ht="15.75" customHeight="1">
      <c r="A31" s="12"/>
      <c r="B31" s="12"/>
      <c r="C31" s="12"/>
      <c r="D31" s="23" t="str">
        <f>IFERROR(VLOOKUP(C31,'Legenda &amp; Referensi'!$A$51:$B$58,2,0),"")</f>
        <v/>
      </c>
      <c r="E31" s="12"/>
      <c r="F31" s="12"/>
      <c r="G31" s="12"/>
      <c r="H31" s="12"/>
      <c r="I31" s="12"/>
    </row>
    <row r="32" ht="15.75" customHeight="1">
      <c r="A32" s="12"/>
      <c r="B32" s="12"/>
      <c r="C32" s="12"/>
      <c r="D32" s="23" t="str">
        <f>IFERROR(VLOOKUP(C32,'Legenda &amp; Referensi'!$A$51:$B$58,2,0),"")</f>
        <v/>
      </c>
      <c r="E32" s="12"/>
      <c r="F32" s="12"/>
      <c r="G32" s="12"/>
      <c r="H32" s="12"/>
      <c r="I32" s="12"/>
    </row>
    <row r="33" ht="15.75" customHeight="1">
      <c r="A33" s="12"/>
      <c r="B33" s="12"/>
      <c r="C33" s="12"/>
      <c r="D33" s="23" t="str">
        <f>IFERROR(VLOOKUP(C33,'Legenda &amp; Referensi'!$A$51:$B$58,2,0),"")</f>
        <v/>
      </c>
      <c r="E33" s="12"/>
      <c r="F33" s="12"/>
      <c r="G33" s="12"/>
      <c r="H33" s="12"/>
      <c r="I33" s="12"/>
    </row>
    <row r="34" ht="15.75" customHeight="1">
      <c r="A34" s="12"/>
      <c r="B34" s="12"/>
      <c r="C34" s="12"/>
      <c r="D34" s="23" t="str">
        <f>IFERROR(VLOOKUP(C34,'Legenda &amp; Referensi'!$A$51:$B$58,2,0),"")</f>
        <v/>
      </c>
      <c r="E34" s="12"/>
      <c r="F34" s="12"/>
      <c r="G34" s="12"/>
      <c r="H34" s="12"/>
      <c r="I34" s="12"/>
    </row>
    <row r="35" ht="15.75" customHeight="1">
      <c r="A35" s="12"/>
      <c r="B35" s="12"/>
      <c r="C35" s="12"/>
      <c r="D35" s="23" t="str">
        <f>IFERROR(VLOOKUP(C35,'Legenda &amp; Referensi'!$A$51:$B$58,2,0),"")</f>
        <v/>
      </c>
      <c r="E35" s="12"/>
      <c r="F35" s="12"/>
      <c r="G35" s="12"/>
      <c r="H35" s="12"/>
      <c r="I35" s="12"/>
    </row>
    <row r="36" ht="15.75" customHeight="1">
      <c r="A36" s="12"/>
      <c r="B36" s="12"/>
      <c r="C36" s="12"/>
      <c r="D36" s="23" t="str">
        <f>IFERROR(VLOOKUP(C36,'Legenda &amp; Referensi'!$A$51:$B$58,2,0),"")</f>
        <v/>
      </c>
      <c r="E36" s="12"/>
      <c r="F36" s="12"/>
      <c r="G36" s="12"/>
      <c r="H36" s="12"/>
      <c r="I36" s="12"/>
    </row>
    <row r="37" ht="15.75" customHeight="1">
      <c r="A37" s="12"/>
      <c r="B37" s="12"/>
      <c r="C37" s="12"/>
      <c r="D37" s="23" t="str">
        <f>IFERROR(VLOOKUP(C37,'Legenda &amp; Referensi'!$A$51:$B$58,2,0),"")</f>
        <v/>
      </c>
      <c r="E37" s="12"/>
      <c r="F37" s="12"/>
      <c r="G37" s="12"/>
      <c r="H37" s="12"/>
      <c r="I37" s="12"/>
    </row>
    <row r="38" ht="15.75" customHeight="1">
      <c r="A38" s="12"/>
      <c r="B38" s="12"/>
      <c r="C38" s="12"/>
      <c r="D38" s="23" t="str">
        <f>IFERROR(VLOOKUP(C38,'Legenda &amp; Referensi'!$A$51:$B$58,2,0),"")</f>
        <v/>
      </c>
      <c r="E38" s="12"/>
      <c r="F38" s="12"/>
      <c r="G38" s="12"/>
      <c r="H38" s="12"/>
      <c r="I38" s="12"/>
    </row>
    <row r="39" ht="15.75" customHeight="1">
      <c r="A39" s="12"/>
      <c r="B39" s="12"/>
      <c r="C39" s="12"/>
      <c r="D39" s="23" t="str">
        <f>IFERROR(VLOOKUP(C39,'Legenda &amp; Referensi'!$A$51:$B$58,2,0),"")</f>
        <v/>
      </c>
      <c r="E39" s="12"/>
      <c r="F39" s="12"/>
      <c r="G39" s="12"/>
      <c r="H39" s="12"/>
      <c r="I39" s="12"/>
    </row>
    <row r="40" ht="15.75" customHeight="1">
      <c r="A40" s="12"/>
      <c r="B40" s="12"/>
      <c r="C40" s="12"/>
      <c r="D40" s="23" t="str">
        <f>IFERROR(VLOOKUP(C40,'Legenda &amp; Referensi'!$A$51:$B$58,2,0),"")</f>
        <v/>
      </c>
      <c r="E40" s="12"/>
      <c r="F40" s="12"/>
      <c r="G40" s="12"/>
      <c r="H40" s="12"/>
      <c r="I40" s="12"/>
    </row>
    <row r="41" ht="15.75" customHeight="1">
      <c r="A41" s="12"/>
      <c r="B41" s="12"/>
      <c r="C41" s="12"/>
      <c r="D41" s="23" t="str">
        <f>IFERROR(VLOOKUP(C41,'Legenda &amp; Referensi'!$A$51:$B$58,2,0),"")</f>
        <v/>
      </c>
      <c r="E41" s="12"/>
      <c r="F41" s="12"/>
      <c r="G41" s="12"/>
      <c r="H41" s="12"/>
      <c r="I41" s="12"/>
    </row>
    <row r="42" ht="15.75" customHeight="1">
      <c r="A42" s="12"/>
      <c r="B42" s="12"/>
      <c r="C42" s="12"/>
      <c r="D42" s="23" t="str">
        <f>IFERROR(VLOOKUP(C42,'Legenda &amp; Referensi'!$A$51:$B$58,2,0),"")</f>
        <v/>
      </c>
      <c r="E42" s="12"/>
      <c r="F42" s="12"/>
      <c r="G42" s="12"/>
      <c r="H42" s="12"/>
      <c r="I42" s="12"/>
    </row>
    <row r="43" ht="15.75" customHeight="1">
      <c r="A43" s="12"/>
      <c r="B43" s="12"/>
      <c r="C43" s="12"/>
      <c r="D43" s="23" t="str">
        <f>IFERROR(VLOOKUP(C43,'Legenda &amp; Referensi'!$A$51:$B$58,2,0),"")</f>
        <v/>
      </c>
      <c r="E43" s="12"/>
      <c r="F43" s="12"/>
      <c r="G43" s="12"/>
      <c r="H43" s="12"/>
      <c r="I43" s="12"/>
    </row>
    <row r="44" ht="15.75" customHeight="1">
      <c r="A44" s="12"/>
      <c r="B44" s="12"/>
      <c r="C44" s="12"/>
      <c r="D44" s="23" t="str">
        <f>IFERROR(VLOOKUP(C44,'Legenda &amp; Referensi'!$A$51:$B$58,2,0),"")</f>
        <v/>
      </c>
      <c r="E44" s="12"/>
      <c r="F44" s="12"/>
      <c r="G44" s="12"/>
      <c r="H44" s="12"/>
      <c r="I44" s="12"/>
    </row>
    <row r="45" ht="15.75" customHeight="1">
      <c r="A45" s="12"/>
      <c r="B45" s="12"/>
      <c r="C45" s="12"/>
      <c r="D45" s="23" t="str">
        <f>IFERROR(VLOOKUP(C45,'Legenda &amp; Referensi'!$A$51:$B$58,2,0),"")</f>
        <v/>
      </c>
      <c r="E45" s="12"/>
      <c r="F45" s="12"/>
      <c r="G45" s="12"/>
      <c r="H45" s="12"/>
      <c r="I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I3"/>
  </mergeCells>
  <dataValidations>
    <dataValidation type="list" allowBlank="1" sqref="C6:C45">
      <formula1>'Legenda &amp; Referensi'!$A$51:$A$58</formula1>
    </dataValidation>
    <dataValidation type="list" allowBlank="1" sqref="F6:F45">
      <formula1>'Legenda &amp; Referensi'!$A$86:$A$87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2" width="14.0"/>
    <col customWidth="1" min="3" max="3" width="12.0"/>
    <col customWidth="1" min="4" max="4" width="14.0"/>
    <col customWidth="1" min="5" max="5" width="20.0"/>
    <col customWidth="1" min="6" max="6" width="24.0"/>
    <col customWidth="1" min="7" max="7" width="14.0"/>
    <col customWidth="1" min="8" max="8" width="18.0"/>
    <col customWidth="1" min="9" max="9" width="22.0"/>
    <col customWidth="1" min="10" max="10" width="26.0"/>
    <col customWidth="1" min="11" max="26" width="8.71"/>
  </cols>
  <sheetData>
    <row r="1">
      <c r="A1" s="1" t="s">
        <v>262</v>
      </c>
    </row>
    <row r="2">
      <c r="A2" s="3" t="s">
        <v>5</v>
      </c>
    </row>
    <row r="3">
      <c r="A3" s="5" t="s">
        <v>263</v>
      </c>
    </row>
    <row r="5">
      <c r="A5" s="6" t="s">
        <v>8</v>
      </c>
      <c r="B5" s="6" t="s">
        <v>264</v>
      </c>
      <c r="C5" s="6" t="s">
        <v>234</v>
      </c>
      <c r="D5" s="6" t="s">
        <v>181</v>
      </c>
      <c r="E5" s="6" t="s">
        <v>182</v>
      </c>
      <c r="F5" s="6" t="s">
        <v>265</v>
      </c>
      <c r="G5" s="6" t="s">
        <v>266</v>
      </c>
      <c r="H5" s="6" t="s">
        <v>267</v>
      </c>
      <c r="I5" s="6" t="s">
        <v>268</v>
      </c>
      <c r="J5" s="6" t="s">
        <v>20</v>
      </c>
    </row>
    <row r="6">
      <c r="A6" s="12"/>
      <c r="B6" s="12"/>
      <c r="C6" s="12"/>
      <c r="D6" s="12"/>
      <c r="E6" s="23" t="str">
        <f>IFERROR(VLOOKUP(D6,'Legenda &amp; Referensi'!$A$68:$B$70,2,0),"")</f>
        <v/>
      </c>
      <c r="F6" s="12"/>
      <c r="G6" s="12"/>
      <c r="H6" s="12"/>
      <c r="I6" s="12"/>
      <c r="J6" s="12"/>
    </row>
    <row r="7">
      <c r="A7" s="12"/>
      <c r="B7" s="12"/>
      <c r="C7" s="12"/>
      <c r="D7" s="12"/>
      <c r="E7" s="23" t="str">
        <f>IFERROR(VLOOKUP(D7,'Legenda &amp; Referensi'!$A$68:$B$70,2,0),"")</f>
        <v/>
      </c>
      <c r="F7" s="12"/>
      <c r="G7" s="12"/>
      <c r="H7" s="12"/>
      <c r="I7" s="12"/>
      <c r="J7" s="12"/>
    </row>
    <row r="8">
      <c r="A8" s="12"/>
      <c r="B8" s="12"/>
      <c r="C8" s="12"/>
      <c r="D8" s="12"/>
      <c r="E8" s="23" t="str">
        <f>IFERROR(VLOOKUP(D8,'Legenda &amp; Referensi'!$A$68:$B$70,2,0),"")</f>
        <v/>
      </c>
      <c r="F8" s="12"/>
      <c r="G8" s="12"/>
      <c r="H8" s="12"/>
      <c r="I8" s="12"/>
      <c r="J8" s="12"/>
    </row>
    <row r="9">
      <c r="A9" s="12"/>
      <c r="B9" s="12"/>
      <c r="C9" s="12"/>
      <c r="D9" s="12"/>
      <c r="E9" s="23" t="str">
        <f>IFERROR(VLOOKUP(D9,'Legenda &amp; Referensi'!$A$68:$B$70,2,0),"")</f>
        <v/>
      </c>
      <c r="F9" s="12"/>
      <c r="G9" s="12"/>
      <c r="H9" s="12"/>
      <c r="I9" s="12"/>
      <c r="J9" s="12"/>
    </row>
    <row r="10">
      <c r="A10" s="12"/>
      <c r="B10" s="12"/>
      <c r="C10" s="12"/>
      <c r="D10" s="12"/>
      <c r="E10" s="23" t="str">
        <f>IFERROR(VLOOKUP(D10,'Legenda &amp; Referensi'!$A$68:$B$70,2,0),"")</f>
        <v/>
      </c>
      <c r="F10" s="12"/>
      <c r="G10" s="12"/>
      <c r="H10" s="12"/>
      <c r="I10" s="12"/>
      <c r="J10" s="12"/>
    </row>
    <row r="11">
      <c r="A11" s="12"/>
      <c r="B11" s="12"/>
      <c r="C11" s="12"/>
      <c r="D11" s="12"/>
      <c r="E11" s="23" t="str">
        <f>IFERROR(VLOOKUP(D11,'Legenda &amp; Referensi'!$A$68:$B$70,2,0),"")</f>
        <v/>
      </c>
      <c r="F11" s="12"/>
      <c r="G11" s="12"/>
      <c r="H11" s="12"/>
      <c r="I11" s="12"/>
      <c r="J11" s="12"/>
    </row>
    <row r="12">
      <c r="A12" s="12"/>
      <c r="B12" s="12"/>
      <c r="C12" s="12"/>
      <c r="D12" s="12"/>
      <c r="E12" s="23" t="str">
        <f>IFERROR(VLOOKUP(D12,'Legenda &amp; Referensi'!$A$68:$B$70,2,0),"")</f>
        <v/>
      </c>
      <c r="F12" s="12"/>
      <c r="G12" s="12"/>
      <c r="H12" s="12"/>
      <c r="I12" s="12"/>
      <c r="J12" s="12"/>
    </row>
    <row r="13">
      <c r="A13" s="12"/>
      <c r="B13" s="12"/>
      <c r="C13" s="12"/>
      <c r="D13" s="12"/>
      <c r="E13" s="23" t="str">
        <f>IFERROR(VLOOKUP(D13,'Legenda &amp; Referensi'!$A$68:$B$70,2,0),"")</f>
        <v/>
      </c>
      <c r="F13" s="12"/>
      <c r="G13" s="12"/>
      <c r="H13" s="12"/>
      <c r="I13" s="12"/>
      <c r="J13" s="12"/>
    </row>
    <row r="14">
      <c r="A14" s="12"/>
      <c r="B14" s="12"/>
      <c r="C14" s="12"/>
      <c r="D14" s="12"/>
      <c r="E14" s="23" t="str">
        <f>IFERROR(VLOOKUP(D14,'Legenda &amp; Referensi'!$A$68:$B$70,2,0),"")</f>
        <v/>
      </c>
      <c r="F14" s="12"/>
      <c r="G14" s="12"/>
      <c r="H14" s="12"/>
      <c r="I14" s="12"/>
      <c r="J14" s="12"/>
    </row>
    <row r="15">
      <c r="A15" s="12"/>
      <c r="B15" s="12"/>
      <c r="C15" s="12"/>
      <c r="D15" s="12"/>
      <c r="E15" s="23" t="str">
        <f>IFERROR(VLOOKUP(D15,'Legenda &amp; Referensi'!$A$68:$B$70,2,0),"")</f>
        <v/>
      </c>
      <c r="F15" s="12"/>
      <c r="G15" s="12"/>
      <c r="H15" s="12"/>
      <c r="I15" s="12"/>
      <c r="J15" s="12"/>
    </row>
    <row r="16">
      <c r="A16" s="12"/>
      <c r="B16" s="12"/>
      <c r="C16" s="12"/>
      <c r="D16" s="12"/>
      <c r="E16" s="23" t="str">
        <f>IFERROR(VLOOKUP(D16,'Legenda &amp; Referensi'!$A$68:$B$70,2,0),"")</f>
        <v/>
      </c>
      <c r="F16" s="12"/>
      <c r="G16" s="12"/>
      <c r="H16" s="12"/>
      <c r="I16" s="12"/>
      <c r="J16" s="12"/>
    </row>
    <row r="17">
      <c r="A17" s="12"/>
      <c r="B17" s="12"/>
      <c r="C17" s="12"/>
      <c r="D17" s="12"/>
      <c r="E17" s="23" t="str">
        <f>IFERROR(VLOOKUP(D17,'Legenda &amp; Referensi'!$A$68:$B$70,2,0),"")</f>
        <v/>
      </c>
      <c r="F17" s="12"/>
      <c r="G17" s="12"/>
      <c r="H17" s="12"/>
      <c r="I17" s="12"/>
      <c r="J17" s="12"/>
    </row>
    <row r="18">
      <c r="A18" s="12"/>
      <c r="B18" s="12"/>
      <c r="C18" s="12"/>
      <c r="D18" s="12"/>
      <c r="E18" s="23" t="str">
        <f>IFERROR(VLOOKUP(D18,'Legenda &amp; Referensi'!$A$68:$B$70,2,0),"")</f>
        <v/>
      </c>
      <c r="F18" s="12"/>
      <c r="G18" s="12"/>
      <c r="H18" s="12"/>
      <c r="I18" s="12"/>
      <c r="J18" s="12"/>
    </row>
    <row r="19">
      <c r="A19" s="12"/>
      <c r="B19" s="12"/>
      <c r="C19" s="12"/>
      <c r="D19" s="12"/>
      <c r="E19" s="23" t="str">
        <f>IFERROR(VLOOKUP(D19,'Legenda &amp; Referensi'!$A$68:$B$70,2,0),"")</f>
        <v/>
      </c>
      <c r="F19" s="12"/>
      <c r="G19" s="12"/>
      <c r="H19" s="12"/>
      <c r="I19" s="12"/>
      <c r="J19" s="12"/>
    </row>
    <row r="20">
      <c r="A20" s="12"/>
      <c r="B20" s="12"/>
      <c r="C20" s="12"/>
      <c r="D20" s="12"/>
      <c r="E20" s="23" t="str">
        <f>IFERROR(VLOOKUP(D20,'Legenda &amp; Referensi'!$A$68:$B$70,2,0),"")</f>
        <v/>
      </c>
      <c r="F20" s="12"/>
      <c r="G20" s="12"/>
      <c r="H20" s="12"/>
      <c r="I20" s="12"/>
      <c r="J20" s="12"/>
    </row>
    <row r="21" ht="15.75" customHeight="1">
      <c r="A21" s="12"/>
      <c r="B21" s="12"/>
      <c r="C21" s="12"/>
      <c r="D21" s="12"/>
      <c r="E21" s="23" t="str">
        <f>IFERROR(VLOOKUP(D21,'Legenda &amp; Referensi'!$A$68:$B$70,2,0),"")</f>
        <v/>
      </c>
      <c r="F21" s="12"/>
      <c r="G21" s="12"/>
      <c r="H21" s="12"/>
      <c r="I21" s="12"/>
      <c r="J21" s="12"/>
    </row>
    <row r="22" ht="15.75" customHeight="1">
      <c r="A22" s="12"/>
      <c r="B22" s="12"/>
      <c r="C22" s="12"/>
      <c r="D22" s="12"/>
      <c r="E22" s="23" t="str">
        <f>IFERROR(VLOOKUP(D22,'Legenda &amp; Referensi'!$A$68:$B$70,2,0),"")</f>
        <v/>
      </c>
      <c r="F22" s="12"/>
      <c r="G22" s="12"/>
      <c r="H22" s="12"/>
      <c r="I22" s="12"/>
      <c r="J22" s="12"/>
    </row>
    <row r="23" ht="15.75" customHeight="1">
      <c r="A23" s="12"/>
      <c r="B23" s="12"/>
      <c r="C23" s="12"/>
      <c r="D23" s="12"/>
      <c r="E23" s="23" t="str">
        <f>IFERROR(VLOOKUP(D23,'Legenda &amp; Referensi'!$A$68:$B$70,2,0),"")</f>
        <v/>
      </c>
      <c r="F23" s="12"/>
      <c r="G23" s="12"/>
      <c r="H23" s="12"/>
      <c r="I23" s="12"/>
      <c r="J23" s="12"/>
    </row>
    <row r="24" ht="15.75" customHeight="1">
      <c r="A24" s="12"/>
      <c r="B24" s="12"/>
      <c r="C24" s="12"/>
      <c r="D24" s="12"/>
      <c r="E24" s="23" t="str">
        <f>IFERROR(VLOOKUP(D24,'Legenda &amp; Referensi'!$A$68:$B$70,2,0),"")</f>
        <v/>
      </c>
      <c r="F24" s="12"/>
      <c r="G24" s="12"/>
      <c r="H24" s="12"/>
      <c r="I24" s="12"/>
      <c r="J24" s="12"/>
    </row>
    <row r="25" ht="15.75" customHeight="1">
      <c r="A25" s="12"/>
      <c r="B25" s="12"/>
      <c r="C25" s="12"/>
      <c r="D25" s="12"/>
      <c r="E25" s="23" t="str">
        <f>IFERROR(VLOOKUP(D25,'Legenda &amp; Referensi'!$A$68:$B$70,2,0),"")</f>
        <v/>
      </c>
      <c r="F25" s="12"/>
      <c r="G25" s="12"/>
      <c r="H25" s="12"/>
      <c r="I25" s="12"/>
      <c r="J25" s="12"/>
    </row>
    <row r="26" ht="15.75" customHeight="1">
      <c r="A26" s="12"/>
      <c r="B26" s="12"/>
      <c r="C26" s="12"/>
      <c r="D26" s="12"/>
      <c r="E26" s="23" t="str">
        <f>IFERROR(VLOOKUP(D26,'Legenda &amp; Referensi'!$A$68:$B$70,2,0),"")</f>
        <v/>
      </c>
      <c r="F26" s="12"/>
      <c r="G26" s="12"/>
      <c r="H26" s="12"/>
      <c r="I26" s="12"/>
      <c r="J26" s="12"/>
    </row>
    <row r="27" ht="15.75" customHeight="1">
      <c r="A27" s="12"/>
      <c r="B27" s="12"/>
      <c r="C27" s="12"/>
      <c r="D27" s="12"/>
      <c r="E27" s="23" t="str">
        <f>IFERROR(VLOOKUP(D27,'Legenda &amp; Referensi'!$A$68:$B$70,2,0),"")</f>
        <v/>
      </c>
      <c r="F27" s="12"/>
      <c r="G27" s="12"/>
      <c r="H27" s="12"/>
      <c r="I27" s="12"/>
      <c r="J27" s="12"/>
    </row>
    <row r="28" ht="15.75" customHeight="1">
      <c r="A28" s="12"/>
      <c r="B28" s="12"/>
      <c r="C28" s="12"/>
      <c r="D28" s="12"/>
      <c r="E28" s="23" t="str">
        <f>IFERROR(VLOOKUP(D28,'Legenda &amp; Referensi'!$A$68:$B$70,2,0),"")</f>
        <v/>
      </c>
      <c r="F28" s="12"/>
      <c r="G28" s="12"/>
      <c r="H28" s="12"/>
      <c r="I28" s="12"/>
      <c r="J28" s="12"/>
    </row>
    <row r="29" ht="15.75" customHeight="1">
      <c r="A29" s="12"/>
      <c r="B29" s="12"/>
      <c r="C29" s="12"/>
      <c r="D29" s="12"/>
      <c r="E29" s="23" t="str">
        <f>IFERROR(VLOOKUP(D29,'Legenda &amp; Referensi'!$A$68:$B$70,2,0),"")</f>
        <v/>
      </c>
      <c r="F29" s="12"/>
      <c r="G29" s="12"/>
      <c r="H29" s="12"/>
      <c r="I29" s="12"/>
      <c r="J29" s="12"/>
    </row>
    <row r="30" ht="15.75" customHeight="1">
      <c r="A30" s="12"/>
      <c r="B30" s="12"/>
      <c r="C30" s="12"/>
      <c r="D30" s="12"/>
      <c r="E30" s="23" t="str">
        <f>IFERROR(VLOOKUP(D30,'Legenda &amp; Referensi'!$A$68:$B$70,2,0),"")</f>
        <v/>
      </c>
      <c r="F30" s="12"/>
      <c r="G30" s="12"/>
      <c r="H30" s="12"/>
      <c r="I30" s="12"/>
      <c r="J30" s="12"/>
    </row>
    <row r="31" ht="15.75" customHeight="1">
      <c r="A31" s="12"/>
      <c r="B31" s="12"/>
      <c r="C31" s="12"/>
      <c r="D31" s="12"/>
      <c r="E31" s="23" t="str">
        <f>IFERROR(VLOOKUP(D31,'Legenda &amp; Referensi'!$A$68:$B$70,2,0),"")</f>
        <v/>
      </c>
      <c r="F31" s="12"/>
      <c r="G31" s="12"/>
      <c r="H31" s="12"/>
      <c r="I31" s="12"/>
      <c r="J31" s="12"/>
    </row>
    <row r="32" ht="15.75" customHeight="1">
      <c r="A32" s="12"/>
      <c r="B32" s="12"/>
      <c r="C32" s="12"/>
      <c r="D32" s="12"/>
      <c r="E32" s="23" t="str">
        <f>IFERROR(VLOOKUP(D32,'Legenda &amp; Referensi'!$A$68:$B$70,2,0),"")</f>
        <v/>
      </c>
      <c r="F32" s="12"/>
      <c r="G32" s="12"/>
      <c r="H32" s="12"/>
      <c r="I32" s="12"/>
      <c r="J32" s="12"/>
    </row>
    <row r="33" ht="15.75" customHeight="1">
      <c r="A33" s="12"/>
      <c r="B33" s="12"/>
      <c r="C33" s="12"/>
      <c r="D33" s="12"/>
      <c r="E33" s="23" t="str">
        <f>IFERROR(VLOOKUP(D33,'Legenda &amp; Referensi'!$A$68:$B$70,2,0),"")</f>
        <v/>
      </c>
      <c r="F33" s="12"/>
      <c r="G33" s="12"/>
      <c r="H33" s="12"/>
      <c r="I33" s="12"/>
      <c r="J33" s="12"/>
    </row>
    <row r="34" ht="15.75" customHeight="1">
      <c r="A34" s="12"/>
      <c r="B34" s="12"/>
      <c r="C34" s="12"/>
      <c r="D34" s="12"/>
      <c r="E34" s="23" t="str">
        <f>IFERROR(VLOOKUP(D34,'Legenda &amp; Referensi'!$A$68:$B$70,2,0),"")</f>
        <v/>
      </c>
      <c r="F34" s="12"/>
      <c r="G34" s="12"/>
      <c r="H34" s="12"/>
      <c r="I34" s="12"/>
      <c r="J34" s="12"/>
    </row>
    <row r="35" ht="15.75" customHeight="1">
      <c r="A35" s="12"/>
      <c r="B35" s="12"/>
      <c r="C35" s="12"/>
      <c r="D35" s="12"/>
      <c r="E35" s="23" t="str">
        <f>IFERROR(VLOOKUP(D35,'Legenda &amp; Referensi'!$A$68:$B$70,2,0),"")</f>
        <v/>
      </c>
      <c r="F35" s="12"/>
      <c r="G35" s="12"/>
      <c r="H35" s="12"/>
      <c r="I35" s="12"/>
      <c r="J35" s="12"/>
    </row>
    <row r="36" ht="15.75" customHeight="1">
      <c r="A36" s="12"/>
      <c r="B36" s="12"/>
      <c r="C36" s="12"/>
      <c r="D36" s="12"/>
      <c r="E36" s="23" t="str">
        <f>IFERROR(VLOOKUP(D36,'Legenda &amp; Referensi'!$A$68:$B$70,2,0),"")</f>
        <v/>
      </c>
      <c r="F36" s="12"/>
      <c r="G36" s="12"/>
      <c r="H36" s="12"/>
      <c r="I36" s="12"/>
      <c r="J36" s="12"/>
    </row>
    <row r="37" ht="15.75" customHeight="1">
      <c r="A37" s="12"/>
      <c r="B37" s="12"/>
      <c r="C37" s="12"/>
      <c r="D37" s="12"/>
      <c r="E37" s="23" t="str">
        <f>IFERROR(VLOOKUP(D37,'Legenda &amp; Referensi'!$A$68:$B$70,2,0),"")</f>
        <v/>
      </c>
      <c r="F37" s="12"/>
      <c r="G37" s="12"/>
      <c r="H37" s="12"/>
      <c r="I37" s="12"/>
      <c r="J37" s="12"/>
    </row>
    <row r="38" ht="15.75" customHeight="1">
      <c r="A38" s="12"/>
      <c r="B38" s="12"/>
      <c r="C38" s="12"/>
      <c r="D38" s="12"/>
      <c r="E38" s="23" t="str">
        <f>IFERROR(VLOOKUP(D38,'Legenda &amp; Referensi'!$A$68:$B$70,2,0),"")</f>
        <v/>
      </c>
      <c r="F38" s="12"/>
      <c r="G38" s="12"/>
      <c r="H38" s="12"/>
      <c r="I38" s="12"/>
      <c r="J38" s="12"/>
    </row>
    <row r="39" ht="15.75" customHeight="1">
      <c r="A39" s="12"/>
      <c r="B39" s="12"/>
      <c r="C39" s="12"/>
      <c r="D39" s="12"/>
      <c r="E39" s="23" t="str">
        <f>IFERROR(VLOOKUP(D39,'Legenda &amp; Referensi'!$A$68:$B$70,2,0),"")</f>
        <v/>
      </c>
      <c r="F39" s="12"/>
      <c r="G39" s="12"/>
      <c r="H39" s="12"/>
      <c r="I39" s="12"/>
      <c r="J39" s="12"/>
    </row>
    <row r="40" ht="15.75" customHeight="1">
      <c r="A40" s="12"/>
      <c r="B40" s="12"/>
      <c r="C40" s="12"/>
      <c r="D40" s="12"/>
      <c r="E40" s="23" t="str">
        <f>IFERROR(VLOOKUP(D40,'Legenda &amp; Referensi'!$A$68:$B$70,2,0),"")</f>
        <v/>
      </c>
      <c r="F40" s="12"/>
      <c r="G40" s="12"/>
      <c r="H40" s="12"/>
      <c r="I40" s="12"/>
      <c r="J40" s="12"/>
    </row>
    <row r="41" ht="15.75" customHeight="1">
      <c r="A41" s="12"/>
      <c r="B41" s="12"/>
      <c r="C41" s="12"/>
      <c r="D41" s="12"/>
      <c r="E41" s="23" t="str">
        <f>IFERROR(VLOOKUP(D41,'Legenda &amp; Referensi'!$A$68:$B$70,2,0),"")</f>
        <v/>
      </c>
      <c r="F41" s="12"/>
      <c r="G41" s="12"/>
      <c r="H41" s="12"/>
      <c r="I41" s="12"/>
      <c r="J41" s="12"/>
    </row>
    <row r="42" ht="15.75" customHeight="1">
      <c r="A42" s="12"/>
      <c r="B42" s="12"/>
      <c r="C42" s="12"/>
      <c r="D42" s="12"/>
      <c r="E42" s="23" t="str">
        <f>IFERROR(VLOOKUP(D42,'Legenda &amp; Referensi'!$A$68:$B$70,2,0),"")</f>
        <v/>
      </c>
      <c r="F42" s="12"/>
      <c r="G42" s="12"/>
      <c r="H42" s="12"/>
      <c r="I42" s="12"/>
      <c r="J42" s="12"/>
    </row>
    <row r="43" ht="15.75" customHeight="1">
      <c r="A43" s="12"/>
      <c r="B43" s="12"/>
      <c r="C43" s="12"/>
      <c r="D43" s="12"/>
      <c r="E43" s="23" t="str">
        <f>IFERROR(VLOOKUP(D43,'Legenda &amp; Referensi'!$A$68:$B$70,2,0),"")</f>
        <v/>
      </c>
      <c r="F43" s="12"/>
      <c r="G43" s="12"/>
      <c r="H43" s="12"/>
      <c r="I43" s="12"/>
      <c r="J43" s="12"/>
    </row>
    <row r="44" ht="15.75" customHeight="1">
      <c r="A44" s="12"/>
      <c r="B44" s="12"/>
      <c r="C44" s="12"/>
      <c r="D44" s="12"/>
      <c r="E44" s="23" t="str">
        <f>IFERROR(VLOOKUP(D44,'Legenda &amp; Referensi'!$A$68:$B$70,2,0),"")</f>
        <v/>
      </c>
      <c r="F44" s="12"/>
      <c r="G44" s="12"/>
      <c r="H44" s="12"/>
      <c r="I44" s="12"/>
      <c r="J44" s="12"/>
    </row>
    <row r="45" ht="15.75" customHeight="1">
      <c r="A45" s="12"/>
      <c r="B45" s="12"/>
      <c r="C45" s="12"/>
      <c r="D45" s="12"/>
      <c r="E45" s="23" t="str">
        <f>IFERROR(VLOOKUP(D45,'Legenda &amp; Referensi'!$A$68:$B$70,2,0),"")</f>
        <v/>
      </c>
      <c r="F45" s="12"/>
      <c r="G45" s="12"/>
      <c r="H45" s="12"/>
      <c r="I45" s="12"/>
      <c r="J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dataValidations>
    <dataValidation type="list" allowBlank="1" sqref="D6:D45">
      <formula1>'Legenda &amp; Referensi'!$A$68:$A$70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2" width="14.0"/>
    <col customWidth="1" min="3" max="3" width="12.0"/>
    <col customWidth="1" min="4" max="4" width="22.0"/>
    <col customWidth="1" min="5" max="5" width="12.0"/>
    <col customWidth="1" min="6" max="7" width="20.0"/>
    <col customWidth="1" min="8" max="8" width="12.0"/>
    <col customWidth="1" min="9" max="9" width="18.0"/>
    <col customWidth="1" min="10" max="10" width="26.0"/>
    <col customWidth="1" min="11" max="26" width="8.71"/>
  </cols>
  <sheetData>
    <row r="1">
      <c r="A1" s="1" t="s">
        <v>270</v>
      </c>
    </row>
    <row r="2">
      <c r="A2" s="3" t="s">
        <v>5</v>
      </c>
    </row>
    <row r="3">
      <c r="A3" s="5" t="s">
        <v>271</v>
      </c>
    </row>
    <row r="5">
      <c r="A5" s="6" t="s">
        <v>8</v>
      </c>
      <c r="B5" s="6" t="s">
        <v>272</v>
      </c>
      <c r="C5" s="6" t="s">
        <v>234</v>
      </c>
      <c r="D5" s="6" t="s">
        <v>265</v>
      </c>
      <c r="E5" s="6" t="s">
        <v>273</v>
      </c>
      <c r="F5" s="6" t="s">
        <v>274</v>
      </c>
      <c r="G5" s="6" t="s">
        <v>15</v>
      </c>
      <c r="H5" s="6" t="s">
        <v>275</v>
      </c>
      <c r="I5" s="6" t="s">
        <v>23</v>
      </c>
      <c r="J5" s="6" t="s">
        <v>20</v>
      </c>
    </row>
    <row r="6">
      <c r="A6" s="12"/>
      <c r="B6" s="12"/>
      <c r="C6" s="12"/>
      <c r="D6" s="12"/>
      <c r="E6" s="12"/>
      <c r="F6" s="12"/>
      <c r="G6" s="23" t="str">
        <f>IFERROR(VLOOKUP(F6,'Legenda &amp; Referensi'!$A$6:$D$40,2,0),"")</f>
        <v/>
      </c>
      <c r="H6" s="12"/>
      <c r="I6" s="12"/>
      <c r="J6" s="12"/>
    </row>
    <row r="7">
      <c r="A7" s="12"/>
      <c r="B7" s="12"/>
      <c r="C7" s="12"/>
      <c r="D7" s="12"/>
      <c r="E7" s="12"/>
      <c r="F7" s="12"/>
      <c r="G7" s="23" t="str">
        <f>IFERROR(VLOOKUP(F7,'Legenda &amp; Referensi'!$A$6:$D$40,2,0),"")</f>
        <v/>
      </c>
      <c r="H7" s="12"/>
      <c r="I7" s="12"/>
      <c r="J7" s="12"/>
    </row>
    <row r="8">
      <c r="A8" s="12"/>
      <c r="B8" s="12"/>
      <c r="C8" s="12"/>
      <c r="D8" s="12"/>
      <c r="E8" s="12"/>
      <c r="F8" s="12"/>
      <c r="G8" s="23" t="str">
        <f>IFERROR(VLOOKUP(F8,'Legenda &amp; Referensi'!$A$6:$D$40,2,0),"")</f>
        <v/>
      </c>
      <c r="H8" s="12"/>
      <c r="I8" s="12"/>
      <c r="J8" s="12"/>
    </row>
    <row r="9">
      <c r="A9" s="12"/>
      <c r="B9" s="12"/>
      <c r="C9" s="12"/>
      <c r="D9" s="12"/>
      <c r="E9" s="12"/>
      <c r="F9" s="12"/>
      <c r="G9" s="23" t="str">
        <f>IFERROR(VLOOKUP(F9,'Legenda &amp; Referensi'!$A$6:$D$40,2,0),"")</f>
        <v/>
      </c>
      <c r="H9" s="12"/>
      <c r="I9" s="12"/>
      <c r="J9" s="12"/>
    </row>
    <row r="10">
      <c r="A10" s="12"/>
      <c r="B10" s="12"/>
      <c r="C10" s="12"/>
      <c r="D10" s="12"/>
      <c r="E10" s="12"/>
      <c r="F10" s="12"/>
      <c r="G10" s="23" t="str">
        <f>IFERROR(VLOOKUP(F10,'Legenda &amp; Referensi'!$A$6:$D$40,2,0),"")</f>
        <v/>
      </c>
      <c r="H10" s="12"/>
      <c r="I10" s="12"/>
      <c r="J10" s="12"/>
    </row>
    <row r="11">
      <c r="A11" s="12"/>
      <c r="B11" s="12"/>
      <c r="C11" s="12"/>
      <c r="D11" s="12"/>
      <c r="E11" s="12"/>
      <c r="F11" s="12"/>
      <c r="G11" s="23" t="str">
        <f>IFERROR(VLOOKUP(F11,'Legenda &amp; Referensi'!$A$6:$D$40,2,0),"")</f>
        <v/>
      </c>
      <c r="H11" s="12"/>
      <c r="I11" s="12"/>
      <c r="J11" s="12"/>
    </row>
    <row r="12">
      <c r="A12" s="12"/>
      <c r="B12" s="12"/>
      <c r="C12" s="12"/>
      <c r="D12" s="12"/>
      <c r="E12" s="12"/>
      <c r="F12" s="12"/>
      <c r="G12" s="23" t="str">
        <f>IFERROR(VLOOKUP(F12,'Legenda &amp; Referensi'!$A$6:$D$40,2,0),"")</f>
        <v/>
      </c>
      <c r="H12" s="12"/>
      <c r="I12" s="12"/>
      <c r="J12" s="12"/>
    </row>
    <row r="13">
      <c r="A13" s="12"/>
      <c r="B13" s="12"/>
      <c r="C13" s="12"/>
      <c r="D13" s="12"/>
      <c r="E13" s="12"/>
      <c r="F13" s="12"/>
      <c r="G13" s="23" t="str">
        <f>IFERROR(VLOOKUP(F13,'Legenda &amp; Referensi'!$A$6:$D$40,2,0),"")</f>
        <v/>
      </c>
      <c r="H13" s="12"/>
      <c r="I13" s="12"/>
      <c r="J13" s="12"/>
    </row>
    <row r="14">
      <c r="A14" s="12"/>
      <c r="B14" s="12"/>
      <c r="C14" s="12"/>
      <c r="D14" s="12"/>
      <c r="E14" s="12"/>
      <c r="F14" s="12"/>
      <c r="G14" s="23" t="str">
        <f>IFERROR(VLOOKUP(F14,'Legenda &amp; Referensi'!$A$6:$D$40,2,0),"")</f>
        <v/>
      </c>
      <c r="H14" s="12"/>
      <c r="I14" s="12"/>
      <c r="J14" s="12"/>
    </row>
    <row r="15">
      <c r="A15" s="12"/>
      <c r="B15" s="12"/>
      <c r="C15" s="12"/>
      <c r="D15" s="12"/>
      <c r="E15" s="12"/>
      <c r="F15" s="12"/>
      <c r="G15" s="23" t="str">
        <f>IFERROR(VLOOKUP(F15,'Legenda &amp; Referensi'!$A$6:$D$40,2,0),"")</f>
        <v/>
      </c>
      <c r="H15" s="12"/>
      <c r="I15" s="12"/>
      <c r="J15" s="12"/>
    </row>
    <row r="16">
      <c r="A16" s="12"/>
      <c r="B16" s="12"/>
      <c r="C16" s="12"/>
      <c r="D16" s="12"/>
      <c r="E16" s="12"/>
      <c r="F16" s="12"/>
      <c r="G16" s="23" t="str">
        <f>IFERROR(VLOOKUP(F16,'Legenda &amp; Referensi'!$A$6:$D$40,2,0),"")</f>
        <v/>
      </c>
      <c r="H16" s="12"/>
      <c r="I16" s="12"/>
      <c r="J16" s="12"/>
    </row>
    <row r="17">
      <c r="A17" s="12"/>
      <c r="B17" s="12"/>
      <c r="C17" s="12"/>
      <c r="D17" s="12"/>
      <c r="E17" s="12"/>
      <c r="F17" s="12"/>
      <c r="G17" s="23" t="str">
        <f>IFERROR(VLOOKUP(F17,'Legenda &amp; Referensi'!$A$6:$D$40,2,0),"")</f>
        <v/>
      </c>
      <c r="H17" s="12"/>
      <c r="I17" s="12"/>
      <c r="J17" s="12"/>
    </row>
    <row r="18">
      <c r="A18" s="12"/>
      <c r="B18" s="12"/>
      <c r="C18" s="12"/>
      <c r="D18" s="12"/>
      <c r="E18" s="12"/>
      <c r="F18" s="12"/>
      <c r="G18" s="23" t="str">
        <f>IFERROR(VLOOKUP(F18,'Legenda &amp; Referensi'!$A$6:$D$40,2,0),"")</f>
        <v/>
      </c>
      <c r="H18" s="12"/>
      <c r="I18" s="12"/>
      <c r="J18" s="12"/>
    </row>
    <row r="19">
      <c r="A19" s="12"/>
      <c r="B19" s="12"/>
      <c r="C19" s="12"/>
      <c r="D19" s="12"/>
      <c r="E19" s="12"/>
      <c r="F19" s="12"/>
      <c r="G19" s="23" t="str">
        <f>IFERROR(VLOOKUP(F19,'Legenda &amp; Referensi'!$A$6:$D$40,2,0),"")</f>
        <v/>
      </c>
      <c r="H19" s="12"/>
      <c r="I19" s="12"/>
      <c r="J19" s="12"/>
    </row>
    <row r="20">
      <c r="A20" s="12"/>
      <c r="B20" s="12"/>
      <c r="C20" s="12"/>
      <c r="D20" s="12"/>
      <c r="E20" s="12"/>
      <c r="F20" s="12"/>
      <c r="G20" s="23" t="str">
        <f>IFERROR(VLOOKUP(F20,'Legenda &amp; Referensi'!$A$6:$D$40,2,0),"")</f>
        <v/>
      </c>
      <c r="H20" s="12"/>
      <c r="I20" s="12"/>
      <c r="J20" s="12"/>
    </row>
    <row r="21" ht="15.75" customHeight="1">
      <c r="A21" s="12"/>
      <c r="B21" s="12"/>
      <c r="C21" s="12"/>
      <c r="D21" s="12"/>
      <c r="E21" s="12"/>
      <c r="F21" s="12"/>
      <c r="G21" s="23" t="str">
        <f>IFERROR(VLOOKUP(F21,'Legenda &amp; Referensi'!$A$6:$D$40,2,0),"")</f>
        <v/>
      </c>
      <c r="H21" s="12"/>
      <c r="I21" s="12"/>
      <c r="J21" s="12"/>
    </row>
    <row r="22" ht="15.75" customHeight="1">
      <c r="A22" s="12"/>
      <c r="B22" s="12"/>
      <c r="C22" s="12"/>
      <c r="D22" s="12"/>
      <c r="E22" s="12"/>
      <c r="F22" s="12"/>
      <c r="G22" s="23" t="str">
        <f>IFERROR(VLOOKUP(F22,'Legenda &amp; Referensi'!$A$6:$D$40,2,0),"")</f>
        <v/>
      </c>
      <c r="H22" s="12"/>
      <c r="I22" s="12"/>
      <c r="J22" s="12"/>
    </row>
    <row r="23" ht="15.75" customHeight="1">
      <c r="A23" s="12"/>
      <c r="B23" s="12"/>
      <c r="C23" s="12"/>
      <c r="D23" s="12"/>
      <c r="E23" s="12"/>
      <c r="F23" s="12"/>
      <c r="G23" s="23" t="str">
        <f>IFERROR(VLOOKUP(F23,'Legenda &amp; Referensi'!$A$6:$D$40,2,0),"")</f>
        <v/>
      </c>
      <c r="H23" s="12"/>
      <c r="I23" s="12"/>
      <c r="J23" s="12"/>
    </row>
    <row r="24" ht="15.75" customHeight="1">
      <c r="A24" s="12"/>
      <c r="B24" s="12"/>
      <c r="C24" s="12"/>
      <c r="D24" s="12"/>
      <c r="E24" s="12"/>
      <c r="F24" s="12"/>
      <c r="G24" s="23" t="str">
        <f>IFERROR(VLOOKUP(F24,'Legenda &amp; Referensi'!$A$6:$D$40,2,0),"")</f>
        <v/>
      </c>
      <c r="H24" s="12"/>
      <c r="I24" s="12"/>
      <c r="J24" s="12"/>
    </row>
    <row r="25" ht="15.75" customHeight="1">
      <c r="A25" s="12"/>
      <c r="B25" s="12"/>
      <c r="C25" s="12"/>
      <c r="D25" s="12"/>
      <c r="E25" s="12"/>
      <c r="F25" s="12"/>
      <c r="G25" s="23" t="str">
        <f>IFERROR(VLOOKUP(F25,'Legenda &amp; Referensi'!$A$6:$D$40,2,0),"")</f>
        <v/>
      </c>
      <c r="H25" s="12"/>
      <c r="I25" s="12"/>
      <c r="J25" s="12"/>
    </row>
    <row r="26" ht="15.75" customHeight="1">
      <c r="A26" s="12"/>
      <c r="B26" s="12"/>
      <c r="C26" s="12"/>
      <c r="D26" s="12"/>
      <c r="E26" s="12"/>
      <c r="F26" s="12"/>
      <c r="G26" s="23" t="str">
        <f>IFERROR(VLOOKUP(F26,'Legenda &amp; Referensi'!$A$6:$D$40,2,0),"")</f>
        <v/>
      </c>
      <c r="H26" s="12"/>
      <c r="I26" s="12"/>
      <c r="J26" s="12"/>
    </row>
    <row r="27" ht="15.75" customHeight="1">
      <c r="A27" s="12"/>
      <c r="B27" s="12"/>
      <c r="C27" s="12"/>
      <c r="D27" s="12"/>
      <c r="E27" s="12"/>
      <c r="F27" s="12"/>
      <c r="G27" s="23" t="str">
        <f>IFERROR(VLOOKUP(F27,'Legenda &amp; Referensi'!$A$6:$D$40,2,0),"")</f>
        <v/>
      </c>
      <c r="H27" s="12"/>
      <c r="I27" s="12"/>
      <c r="J27" s="12"/>
    </row>
    <row r="28" ht="15.75" customHeight="1">
      <c r="A28" s="12"/>
      <c r="B28" s="12"/>
      <c r="C28" s="12"/>
      <c r="D28" s="12"/>
      <c r="E28" s="12"/>
      <c r="F28" s="12"/>
      <c r="G28" s="23" t="str">
        <f>IFERROR(VLOOKUP(F28,'Legenda &amp; Referensi'!$A$6:$D$40,2,0),"")</f>
        <v/>
      </c>
      <c r="H28" s="12"/>
      <c r="I28" s="12"/>
      <c r="J28" s="12"/>
    </row>
    <row r="29" ht="15.75" customHeight="1">
      <c r="A29" s="12"/>
      <c r="B29" s="12"/>
      <c r="C29" s="12"/>
      <c r="D29" s="12"/>
      <c r="E29" s="12"/>
      <c r="F29" s="12"/>
      <c r="G29" s="23" t="str">
        <f>IFERROR(VLOOKUP(F29,'Legenda &amp; Referensi'!$A$6:$D$40,2,0),"")</f>
        <v/>
      </c>
      <c r="H29" s="12"/>
      <c r="I29" s="12"/>
      <c r="J29" s="12"/>
    </row>
    <row r="30" ht="15.75" customHeight="1">
      <c r="A30" s="12"/>
      <c r="B30" s="12"/>
      <c r="C30" s="12"/>
      <c r="D30" s="12"/>
      <c r="E30" s="12"/>
      <c r="F30" s="12"/>
      <c r="G30" s="23" t="str">
        <f>IFERROR(VLOOKUP(F30,'Legenda &amp; Referensi'!$A$6:$D$40,2,0),"")</f>
        <v/>
      </c>
      <c r="H30" s="12"/>
      <c r="I30" s="12"/>
      <c r="J30" s="12"/>
    </row>
    <row r="31" ht="15.75" customHeight="1">
      <c r="A31" s="12"/>
      <c r="B31" s="12"/>
      <c r="C31" s="12"/>
      <c r="D31" s="12"/>
      <c r="E31" s="12"/>
      <c r="F31" s="12"/>
      <c r="G31" s="23" t="str">
        <f>IFERROR(VLOOKUP(F31,'Legenda &amp; Referensi'!$A$6:$D$40,2,0),"")</f>
        <v/>
      </c>
      <c r="H31" s="12"/>
      <c r="I31" s="12"/>
      <c r="J31" s="12"/>
    </row>
    <row r="32" ht="15.75" customHeight="1">
      <c r="A32" s="12"/>
      <c r="B32" s="12"/>
      <c r="C32" s="12"/>
      <c r="D32" s="12"/>
      <c r="E32" s="12"/>
      <c r="F32" s="12"/>
      <c r="G32" s="23" t="str">
        <f>IFERROR(VLOOKUP(F32,'Legenda &amp; Referensi'!$A$6:$D$40,2,0),"")</f>
        <v/>
      </c>
      <c r="H32" s="12"/>
      <c r="I32" s="12"/>
      <c r="J32" s="12"/>
    </row>
    <row r="33" ht="15.75" customHeight="1">
      <c r="A33" s="12"/>
      <c r="B33" s="12"/>
      <c r="C33" s="12"/>
      <c r="D33" s="12"/>
      <c r="E33" s="12"/>
      <c r="F33" s="12"/>
      <c r="G33" s="23" t="str">
        <f>IFERROR(VLOOKUP(F33,'Legenda &amp; Referensi'!$A$6:$D$40,2,0),"")</f>
        <v/>
      </c>
      <c r="H33" s="12"/>
      <c r="I33" s="12"/>
      <c r="J33" s="12"/>
    </row>
    <row r="34" ht="15.75" customHeight="1">
      <c r="A34" s="12"/>
      <c r="B34" s="12"/>
      <c r="C34" s="12"/>
      <c r="D34" s="12"/>
      <c r="E34" s="12"/>
      <c r="F34" s="12"/>
      <c r="G34" s="23" t="str">
        <f>IFERROR(VLOOKUP(F34,'Legenda &amp; Referensi'!$A$6:$D$40,2,0),"")</f>
        <v/>
      </c>
      <c r="H34" s="12"/>
      <c r="I34" s="12"/>
      <c r="J34" s="12"/>
    </row>
    <row r="35" ht="15.75" customHeight="1">
      <c r="A35" s="12"/>
      <c r="B35" s="12"/>
      <c r="C35" s="12"/>
      <c r="D35" s="12"/>
      <c r="E35" s="12"/>
      <c r="F35" s="12"/>
      <c r="G35" s="23" t="str">
        <f>IFERROR(VLOOKUP(F35,'Legenda &amp; Referensi'!$A$6:$D$40,2,0),"")</f>
        <v/>
      </c>
      <c r="H35" s="12"/>
      <c r="I35" s="12"/>
      <c r="J35" s="12"/>
    </row>
    <row r="36" ht="15.75" customHeight="1">
      <c r="A36" s="12"/>
      <c r="B36" s="12"/>
      <c r="C36" s="12"/>
      <c r="D36" s="12"/>
      <c r="E36" s="12"/>
      <c r="F36" s="12"/>
      <c r="G36" s="23" t="str">
        <f>IFERROR(VLOOKUP(F36,'Legenda &amp; Referensi'!$A$6:$D$40,2,0),"")</f>
        <v/>
      </c>
      <c r="H36" s="12"/>
      <c r="I36" s="12"/>
      <c r="J36" s="12"/>
    </row>
    <row r="37" ht="15.75" customHeight="1">
      <c r="A37" s="12"/>
      <c r="B37" s="12"/>
      <c r="C37" s="12"/>
      <c r="D37" s="12"/>
      <c r="E37" s="12"/>
      <c r="F37" s="12"/>
      <c r="G37" s="23" t="str">
        <f>IFERROR(VLOOKUP(F37,'Legenda &amp; Referensi'!$A$6:$D$40,2,0),"")</f>
        <v/>
      </c>
      <c r="H37" s="12"/>
      <c r="I37" s="12"/>
      <c r="J37" s="12"/>
    </row>
    <row r="38" ht="15.75" customHeight="1">
      <c r="A38" s="12"/>
      <c r="B38" s="12"/>
      <c r="C38" s="12"/>
      <c r="D38" s="12"/>
      <c r="E38" s="12"/>
      <c r="F38" s="12"/>
      <c r="G38" s="23" t="str">
        <f>IFERROR(VLOOKUP(F38,'Legenda &amp; Referensi'!$A$6:$D$40,2,0),"")</f>
        <v/>
      </c>
      <c r="H38" s="12"/>
      <c r="I38" s="12"/>
      <c r="J38" s="12"/>
    </row>
    <row r="39" ht="15.75" customHeight="1">
      <c r="A39" s="12"/>
      <c r="B39" s="12"/>
      <c r="C39" s="12"/>
      <c r="D39" s="12"/>
      <c r="E39" s="12"/>
      <c r="F39" s="12"/>
      <c r="G39" s="23" t="str">
        <f>IFERROR(VLOOKUP(F39,'Legenda &amp; Referensi'!$A$6:$D$40,2,0),"")</f>
        <v/>
      </c>
      <c r="H39" s="12"/>
      <c r="I39" s="12"/>
      <c r="J39" s="12"/>
    </row>
    <row r="40" ht="15.75" customHeight="1">
      <c r="A40" s="12"/>
      <c r="B40" s="12"/>
      <c r="C40" s="12"/>
      <c r="D40" s="12"/>
      <c r="E40" s="12"/>
      <c r="F40" s="12"/>
      <c r="G40" s="23" t="str">
        <f>IFERROR(VLOOKUP(F40,'Legenda &amp; Referensi'!$A$6:$D$40,2,0),"")</f>
        <v/>
      </c>
      <c r="H40" s="12"/>
      <c r="I40" s="12"/>
      <c r="J40" s="12"/>
    </row>
    <row r="41" ht="15.75" customHeight="1">
      <c r="A41" s="12"/>
      <c r="B41" s="12"/>
      <c r="C41" s="12"/>
      <c r="D41" s="12"/>
      <c r="E41" s="12"/>
      <c r="F41" s="12"/>
      <c r="G41" s="23" t="str">
        <f>IFERROR(VLOOKUP(F41,'Legenda &amp; Referensi'!$A$6:$D$40,2,0),"")</f>
        <v/>
      </c>
      <c r="H41" s="12"/>
      <c r="I41" s="12"/>
      <c r="J41" s="12"/>
    </row>
    <row r="42" ht="15.75" customHeight="1">
      <c r="A42" s="12"/>
      <c r="B42" s="12"/>
      <c r="C42" s="12"/>
      <c r="D42" s="12"/>
      <c r="E42" s="12"/>
      <c r="F42" s="12"/>
      <c r="G42" s="23" t="str">
        <f>IFERROR(VLOOKUP(F42,'Legenda &amp; Referensi'!$A$6:$D$40,2,0),"")</f>
        <v/>
      </c>
      <c r="H42" s="12"/>
      <c r="I42" s="12"/>
      <c r="J42" s="12"/>
    </row>
    <row r="43" ht="15.75" customHeight="1">
      <c r="A43" s="12"/>
      <c r="B43" s="12"/>
      <c r="C43" s="12"/>
      <c r="D43" s="12"/>
      <c r="E43" s="12"/>
      <c r="F43" s="12"/>
      <c r="G43" s="23" t="str">
        <f>IFERROR(VLOOKUP(F43,'Legenda &amp; Referensi'!$A$6:$D$40,2,0),"")</f>
        <v/>
      </c>
      <c r="H43" s="12"/>
      <c r="I43" s="12"/>
      <c r="J43" s="12"/>
    </row>
    <row r="44" ht="15.75" customHeight="1">
      <c r="A44" s="12"/>
      <c r="B44" s="12"/>
      <c r="C44" s="12"/>
      <c r="D44" s="12"/>
      <c r="E44" s="12"/>
      <c r="F44" s="12"/>
      <c r="G44" s="23" t="str">
        <f>IFERROR(VLOOKUP(F44,'Legenda &amp; Referensi'!$A$6:$D$40,2,0),"")</f>
        <v/>
      </c>
      <c r="H44" s="12"/>
      <c r="I44" s="12"/>
      <c r="J44" s="12"/>
    </row>
    <row r="45" ht="15.75" customHeight="1">
      <c r="A45" s="12"/>
      <c r="B45" s="12"/>
      <c r="C45" s="12"/>
      <c r="D45" s="12"/>
      <c r="E45" s="12"/>
      <c r="F45" s="12"/>
      <c r="G45" s="23" t="str">
        <f>IFERROR(VLOOKUP(F45,'Legenda &amp; Referensi'!$A$6:$D$40,2,0),"")</f>
        <v/>
      </c>
      <c r="H45" s="12"/>
      <c r="I45" s="12"/>
      <c r="J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:J3"/>
  </mergeCells>
  <dataValidations>
    <dataValidation type="list" allowBlank="1" sqref="F6:F45">
      <formula1>'Legenda &amp; Referensi'!$A$6:$A$40</formula1>
    </dataValidation>
    <dataValidation type="list" allowBlank="1" sqref="E6:E45">
      <formula1>'Legenda &amp; Referensi'!$A$91:$A$93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2" width="12.0"/>
    <col customWidth="1" min="3" max="3" width="14.0"/>
    <col customWidth="1" min="4" max="4" width="20.0"/>
    <col customWidth="1" min="5" max="5" width="18.0"/>
    <col customWidth="1" min="6" max="6" width="22.0"/>
    <col customWidth="1" min="7" max="7" width="26.0"/>
    <col customWidth="1" min="8" max="8" width="8.0"/>
    <col customWidth="1" min="9" max="9" width="12.0"/>
    <col customWidth="1" min="10" max="10" width="18.0"/>
    <col customWidth="1" min="11" max="11" width="26.0"/>
    <col customWidth="1" min="12" max="26" width="8.71"/>
  </cols>
  <sheetData>
    <row r="1">
      <c r="A1" s="1" t="s">
        <v>276</v>
      </c>
    </row>
    <row r="2">
      <c r="A2" s="3" t="s">
        <v>5</v>
      </c>
    </row>
    <row r="3">
      <c r="A3" s="5" t="s">
        <v>277</v>
      </c>
    </row>
    <row r="5">
      <c r="A5" s="6" t="s">
        <v>8</v>
      </c>
      <c r="B5" s="6" t="s">
        <v>10</v>
      </c>
      <c r="C5" s="6" t="s">
        <v>13</v>
      </c>
      <c r="D5" s="6" t="s">
        <v>15</v>
      </c>
      <c r="E5" s="6" t="s">
        <v>278</v>
      </c>
      <c r="F5" s="6" t="s">
        <v>279</v>
      </c>
      <c r="G5" s="6" t="s">
        <v>280</v>
      </c>
      <c r="H5" s="6" t="s">
        <v>281</v>
      </c>
      <c r="I5" s="6" t="s">
        <v>282</v>
      </c>
      <c r="J5" s="6" t="s">
        <v>283</v>
      </c>
      <c r="K5" s="6" t="s">
        <v>20</v>
      </c>
    </row>
    <row r="6">
      <c r="A6" s="12"/>
      <c r="B6" s="12"/>
      <c r="C6" s="12"/>
      <c r="D6" s="23" t="str">
        <f>IFERROR(VLOOKUP(C6,'Legenda &amp; Referensi'!$A$6:$D$40,2,0),"")</f>
        <v/>
      </c>
      <c r="E6" s="12"/>
      <c r="F6" s="12"/>
      <c r="G6" s="12"/>
      <c r="H6" s="12"/>
      <c r="I6" s="12"/>
      <c r="J6" s="12"/>
      <c r="K6" s="12"/>
    </row>
    <row r="7">
      <c r="A7" s="12"/>
      <c r="B7" s="12"/>
      <c r="C7" s="12"/>
      <c r="D7" s="23" t="str">
        <f>IFERROR(VLOOKUP(C7,'Legenda &amp; Referensi'!$A$6:$D$40,2,0),"")</f>
        <v/>
      </c>
      <c r="E7" s="12"/>
      <c r="F7" s="12"/>
      <c r="G7" s="12"/>
      <c r="H7" s="12"/>
      <c r="I7" s="12"/>
      <c r="J7" s="12"/>
      <c r="K7" s="12"/>
    </row>
    <row r="8">
      <c r="A8" s="12"/>
      <c r="B8" s="12"/>
      <c r="C8" s="12"/>
      <c r="D8" s="23" t="str">
        <f>IFERROR(VLOOKUP(C8,'Legenda &amp; Referensi'!$A$6:$D$40,2,0),"")</f>
        <v/>
      </c>
      <c r="E8" s="12"/>
      <c r="F8" s="12"/>
      <c r="G8" s="12"/>
      <c r="H8" s="12"/>
      <c r="I8" s="12"/>
      <c r="J8" s="12"/>
      <c r="K8" s="12"/>
    </row>
    <row r="9">
      <c r="A9" s="12"/>
      <c r="B9" s="12"/>
      <c r="C9" s="12"/>
      <c r="D9" s="23" t="str">
        <f>IFERROR(VLOOKUP(C9,'Legenda &amp; Referensi'!$A$6:$D$40,2,0),"")</f>
        <v/>
      </c>
      <c r="E9" s="12"/>
      <c r="F9" s="12"/>
      <c r="G9" s="12"/>
      <c r="H9" s="12"/>
      <c r="I9" s="12"/>
      <c r="J9" s="12"/>
      <c r="K9" s="12"/>
    </row>
    <row r="10">
      <c r="A10" s="12"/>
      <c r="B10" s="12"/>
      <c r="C10" s="12"/>
      <c r="D10" s="23" t="str">
        <f>IFERROR(VLOOKUP(C10,'Legenda &amp; Referensi'!$A$6:$D$40,2,0),"")</f>
        <v/>
      </c>
      <c r="E10" s="12"/>
      <c r="F10" s="12"/>
      <c r="G10" s="12"/>
      <c r="H10" s="12"/>
      <c r="I10" s="12"/>
      <c r="J10" s="12"/>
      <c r="K10" s="12"/>
    </row>
    <row r="11">
      <c r="A11" s="12"/>
      <c r="B11" s="12"/>
      <c r="C11" s="12"/>
      <c r="D11" s="23" t="str">
        <f>IFERROR(VLOOKUP(C11,'Legenda &amp; Referensi'!$A$6:$D$40,2,0),"")</f>
        <v/>
      </c>
      <c r="E11" s="12"/>
      <c r="F11" s="12"/>
      <c r="G11" s="12"/>
      <c r="H11" s="12"/>
      <c r="I11" s="12"/>
      <c r="J11" s="12"/>
      <c r="K11" s="12"/>
    </row>
    <row r="12">
      <c r="A12" s="12"/>
      <c r="B12" s="12"/>
      <c r="C12" s="12"/>
      <c r="D12" s="23" t="str">
        <f>IFERROR(VLOOKUP(C12,'Legenda &amp; Referensi'!$A$6:$D$40,2,0),"")</f>
        <v/>
      </c>
      <c r="E12" s="12"/>
      <c r="F12" s="12"/>
      <c r="G12" s="12"/>
      <c r="H12" s="12"/>
      <c r="I12" s="12"/>
      <c r="J12" s="12"/>
      <c r="K12" s="12"/>
    </row>
    <row r="13">
      <c r="A13" s="12"/>
      <c r="B13" s="12"/>
      <c r="C13" s="12"/>
      <c r="D13" s="23" t="str">
        <f>IFERROR(VLOOKUP(C13,'Legenda &amp; Referensi'!$A$6:$D$40,2,0),"")</f>
        <v/>
      </c>
      <c r="E13" s="12"/>
      <c r="F13" s="12"/>
      <c r="G13" s="12"/>
      <c r="H13" s="12"/>
      <c r="I13" s="12"/>
      <c r="J13" s="12"/>
      <c r="K13" s="12"/>
    </row>
    <row r="14">
      <c r="A14" s="12"/>
      <c r="B14" s="12"/>
      <c r="C14" s="12"/>
      <c r="D14" s="23" t="str">
        <f>IFERROR(VLOOKUP(C14,'Legenda &amp; Referensi'!$A$6:$D$40,2,0),"")</f>
        <v/>
      </c>
      <c r="E14" s="12"/>
      <c r="F14" s="12"/>
      <c r="G14" s="12"/>
      <c r="H14" s="12"/>
      <c r="I14" s="12"/>
      <c r="J14" s="12"/>
      <c r="K14" s="12"/>
    </row>
    <row r="15">
      <c r="A15" s="12"/>
      <c r="B15" s="12"/>
      <c r="C15" s="12"/>
      <c r="D15" s="23" t="str">
        <f>IFERROR(VLOOKUP(C15,'Legenda &amp; Referensi'!$A$6:$D$40,2,0),"")</f>
        <v/>
      </c>
      <c r="E15" s="12"/>
      <c r="F15" s="12"/>
      <c r="G15" s="12"/>
      <c r="H15" s="12"/>
      <c r="I15" s="12"/>
      <c r="J15" s="12"/>
      <c r="K15" s="12"/>
    </row>
    <row r="16">
      <c r="A16" s="12"/>
      <c r="B16" s="12"/>
      <c r="C16" s="12"/>
      <c r="D16" s="23" t="str">
        <f>IFERROR(VLOOKUP(C16,'Legenda &amp; Referensi'!$A$6:$D$40,2,0),"")</f>
        <v/>
      </c>
      <c r="E16" s="12"/>
      <c r="F16" s="12"/>
      <c r="G16" s="12"/>
      <c r="H16" s="12"/>
      <c r="I16" s="12"/>
      <c r="J16" s="12"/>
      <c r="K16" s="12"/>
    </row>
    <row r="17">
      <c r="A17" s="12"/>
      <c r="B17" s="12"/>
      <c r="C17" s="12"/>
      <c r="D17" s="23" t="str">
        <f>IFERROR(VLOOKUP(C17,'Legenda &amp; Referensi'!$A$6:$D$40,2,0),"")</f>
        <v/>
      </c>
      <c r="E17" s="12"/>
      <c r="F17" s="12"/>
      <c r="G17" s="12"/>
      <c r="H17" s="12"/>
      <c r="I17" s="12"/>
      <c r="J17" s="12"/>
      <c r="K17" s="12"/>
    </row>
    <row r="18">
      <c r="A18" s="12"/>
      <c r="B18" s="12"/>
      <c r="C18" s="12"/>
      <c r="D18" s="23" t="str">
        <f>IFERROR(VLOOKUP(C18,'Legenda &amp; Referensi'!$A$6:$D$40,2,0),"")</f>
        <v/>
      </c>
      <c r="E18" s="12"/>
      <c r="F18" s="12"/>
      <c r="G18" s="12"/>
      <c r="H18" s="12"/>
      <c r="I18" s="12"/>
      <c r="J18" s="12"/>
      <c r="K18" s="12"/>
    </row>
    <row r="19">
      <c r="A19" s="12"/>
      <c r="B19" s="12"/>
      <c r="C19" s="12"/>
      <c r="D19" s="23" t="str">
        <f>IFERROR(VLOOKUP(C19,'Legenda &amp; Referensi'!$A$6:$D$40,2,0),"")</f>
        <v/>
      </c>
      <c r="E19" s="12"/>
      <c r="F19" s="12"/>
      <c r="G19" s="12"/>
      <c r="H19" s="12"/>
      <c r="I19" s="12"/>
      <c r="J19" s="12"/>
      <c r="K19" s="12"/>
    </row>
    <row r="20">
      <c r="A20" s="12"/>
      <c r="B20" s="12"/>
      <c r="C20" s="12"/>
      <c r="D20" s="23" t="str">
        <f>IFERROR(VLOOKUP(C20,'Legenda &amp; Referensi'!$A$6:$D$40,2,0),"")</f>
        <v/>
      </c>
      <c r="E20" s="12"/>
      <c r="F20" s="12"/>
      <c r="G20" s="12"/>
      <c r="H20" s="12"/>
      <c r="I20" s="12"/>
      <c r="J20" s="12"/>
      <c r="K20" s="12"/>
    </row>
    <row r="21" ht="15.75" customHeight="1">
      <c r="A21" s="12"/>
      <c r="B21" s="12"/>
      <c r="C21" s="12"/>
      <c r="D21" s="23" t="str">
        <f>IFERROR(VLOOKUP(C21,'Legenda &amp; Referensi'!$A$6:$D$40,2,0),"")</f>
        <v/>
      </c>
      <c r="E21" s="12"/>
      <c r="F21" s="12"/>
      <c r="G21" s="12"/>
      <c r="H21" s="12"/>
      <c r="I21" s="12"/>
      <c r="J21" s="12"/>
      <c r="K21" s="12"/>
    </row>
    <row r="22" ht="15.75" customHeight="1">
      <c r="A22" s="12"/>
      <c r="B22" s="12"/>
      <c r="C22" s="12"/>
      <c r="D22" s="23" t="str">
        <f>IFERROR(VLOOKUP(C22,'Legenda &amp; Referensi'!$A$6:$D$40,2,0),"")</f>
        <v/>
      </c>
      <c r="E22" s="12"/>
      <c r="F22" s="12"/>
      <c r="G22" s="12"/>
      <c r="H22" s="12"/>
      <c r="I22" s="12"/>
      <c r="J22" s="12"/>
      <c r="K22" s="12"/>
    </row>
    <row r="23" ht="15.75" customHeight="1">
      <c r="A23" s="12"/>
      <c r="B23" s="12"/>
      <c r="C23" s="12"/>
      <c r="D23" s="23" t="str">
        <f>IFERROR(VLOOKUP(C23,'Legenda &amp; Referensi'!$A$6:$D$40,2,0),"")</f>
        <v/>
      </c>
      <c r="E23" s="12"/>
      <c r="F23" s="12"/>
      <c r="G23" s="12"/>
      <c r="H23" s="12"/>
      <c r="I23" s="12"/>
      <c r="J23" s="12"/>
      <c r="K23" s="12"/>
    </row>
    <row r="24" ht="15.75" customHeight="1">
      <c r="A24" s="12"/>
      <c r="B24" s="12"/>
      <c r="C24" s="12"/>
      <c r="D24" s="23" t="str">
        <f>IFERROR(VLOOKUP(C24,'Legenda &amp; Referensi'!$A$6:$D$40,2,0),"")</f>
        <v/>
      </c>
      <c r="E24" s="12"/>
      <c r="F24" s="12"/>
      <c r="G24" s="12"/>
      <c r="H24" s="12"/>
      <c r="I24" s="12"/>
      <c r="J24" s="12"/>
      <c r="K24" s="12"/>
    </row>
    <row r="25" ht="15.75" customHeight="1">
      <c r="A25" s="12"/>
      <c r="B25" s="12"/>
      <c r="C25" s="12"/>
      <c r="D25" s="23" t="str">
        <f>IFERROR(VLOOKUP(C25,'Legenda &amp; Referensi'!$A$6:$D$40,2,0),"")</f>
        <v/>
      </c>
      <c r="E25" s="12"/>
      <c r="F25" s="12"/>
      <c r="G25" s="12"/>
      <c r="H25" s="12"/>
      <c r="I25" s="12"/>
      <c r="J25" s="12"/>
      <c r="K25" s="12"/>
    </row>
    <row r="26" ht="15.75" customHeight="1">
      <c r="A26" s="12"/>
      <c r="B26" s="12"/>
      <c r="C26" s="12"/>
      <c r="D26" s="23" t="str">
        <f>IFERROR(VLOOKUP(C26,'Legenda &amp; Referensi'!$A$6:$D$40,2,0),"")</f>
        <v/>
      </c>
      <c r="E26" s="12"/>
      <c r="F26" s="12"/>
      <c r="G26" s="12"/>
      <c r="H26" s="12"/>
      <c r="I26" s="12"/>
      <c r="J26" s="12"/>
      <c r="K26" s="12"/>
    </row>
    <row r="27" ht="15.75" customHeight="1">
      <c r="A27" s="12"/>
      <c r="B27" s="12"/>
      <c r="C27" s="12"/>
      <c r="D27" s="23" t="str">
        <f>IFERROR(VLOOKUP(C27,'Legenda &amp; Referensi'!$A$6:$D$40,2,0),"")</f>
        <v/>
      </c>
      <c r="E27" s="12"/>
      <c r="F27" s="12"/>
      <c r="G27" s="12"/>
      <c r="H27" s="12"/>
      <c r="I27" s="12"/>
      <c r="J27" s="12"/>
      <c r="K27" s="12"/>
    </row>
    <row r="28" ht="15.75" customHeight="1">
      <c r="A28" s="12"/>
      <c r="B28" s="12"/>
      <c r="C28" s="12"/>
      <c r="D28" s="23" t="str">
        <f>IFERROR(VLOOKUP(C28,'Legenda &amp; Referensi'!$A$6:$D$40,2,0),"")</f>
        <v/>
      </c>
      <c r="E28" s="12"/>
      <c r="F28" s="12"/>
      <c r="G28" s="12"/>
      <c r="H28" s="12"/>
      <c r="I28" s="12"/>
      <c r="J28" s="12"/>
      <c r="K28" s="12"/>
    </row>
    <row r="29" ht="15.75" customHeight="1">
      <c r="A29" s="12"/>
      <c r="B29" s="12"/>
      <c r="C29" s="12"/>
      <c r="D29" s="23" t="str">
        <f>IFERROR(VLOOKUP(C29,'Legenda &amp; Referensi'!$A$6:$D$40,2,0),"")</f>
        <v/>
      </c>
      <c r="E29" s="12"/>
      <c r="F29" s="12"/>
      <c r="G29" s="12"/>
      <c r="H29" s="12"/>
      <c r="I29" s="12"/>
      <c r="J29" s="12"/>
      <c r="K29" s="12"/>
    </row>
    <row r="30" ht="15.75" customHeight="1">
      <c r="A30" s="12"/>
      <c r="B30" s="12"/>
      <c r="C30" s="12"/>
      <c r="D30" s="23" t="str">
        <f>IFERROR(VLOOKUP(C30,'Legenda &amp; Referensi'!$A$6:$D$40,2,0),"")</f>
        <v/>
      </c>
      <c r="E30" s="12"/>
      <c r="F30" s="12"/>
      <c r="G30" s="12"/>
      <c r="H30" s="12"/>
      <c r="I30" s="12"/>
      <c r="J30" s="12"/>
      <c r="K30" s="12"/>
    </row>
    <row r="31" ht="15.75" customHeight="1">
      <c r="A31" s="12"/>
      <c r="B31" s="12"/>
      <c r="C31" s="12"/>
      <c r="D31" s="23" t="str">
        <f>IFERROR(VLOOKUP(C31,'Legenda &amp; Referensi'!$A$6:$D$40,2,0),"")</f>
        <v/>
      </c>
      <c r="E31" s="12"/>
      <c r="F31" s="12"/>
      <c r="G31" s="12"/>
      <c r="H31" s="12"/>
      <c r="I31" s="12"/>
      <c r="J31" s="12"/>
      <c r="K31" s="12"/>
    </row>
    <row r="32" ht="15.75" customHeight="1">
      <c r="A32" s="12"/>
      <c r="B32" s="12"/>
      <c r="C32" s="12"/>
      <c r="D32" s="23" t="str">
        <f>IFERROR(VLOOKUP(C32,'Legenda &amp; Referensi'!$A$6:$D$40,2,0),"")</f>
        <v/>
      </c>
      <c r="E32" s="12"/>
      <c r="F32" s="12"/>
      <c r="G32" s="12"/>
      <c r="H32" s="12"/>
      <c r="I32" s="12"/>
      <c r="J32" s="12"/>
      <c r="K32" s="12"/>
    </row>
    <row r="33" ht="15.75" customHeight="1">
      <c r="A33" s="12"/>
      <c r="B33" s="12"/>
      <c r="C33" s="12"/>
      <c r="D33" s="23" t="str">
        <f>IFERROR(VLOOKUP(C33,'Legenda &amp; Referensi'!$A$6:$D$40,2,0),"")</f>
        <v/>
      </c>
      <c r="E33" s="12"/>
      <c r="F33" s="12"/>
      <c r="G33" s="12"/>
      <c r="H33" s="12"/>
      <c r="I33" s="12"/>
      <c r="J33" s="12"/>
      <c r="K33" s="12"/>
    </row>
    <row r="34" ht="15.75" customHeight="1">
      <c r="A34" s="12"/>
      <c r="B34" s="12"/>
      <c r="C34" s="12"/>
      <c r="D34" s="23" t="str">
        <f>IFERROR(VLOOKUP(C34,'Legenda &amp; Referensi'!$A$6:$D$40,2,0),"")</f>
        <v/>
      </c>
      <c r="E34" s="12"/>
      <c r="F34" s="12"/>
      <c r="G34" s="12"/>
      <c r="H34" s="12"/>
      <c r="I34" s="12"/>
      <c r="J34" s="12"/>
      <c r="K34" s="12"/>
    </row>
    <row r="35" ht="15.75" customHeight="1">
      <c r="A35" s="12"/>
      <c r="B35" s="12"/>
      <c r="C35" s="12"/>
      <c r="D35" s="23" t="str">
        <f>IFERROR(VLOOKUP(C35,'Legenda &amp; Referensi'!$A$6:$D$40,2,0),"")</f>
        <v/>
      </c>
      <c r="E35" s="12"/>
      <c r="F35" s="12"/>
      <c r="G35" s="12"/>
      <c r="H35" s="12"/>
      <c r="I35" s="12"/>
      <c r="J35" s="12"/>
      <c r="K35" s="12"/>
    </row>
    <row r="36" ht="15.75" customHeight="1">
      <c r="A36" s="12"/>
      <c r="B36" s="12"/>
      <c r="C36" s="12"/>
      <c r="D36" s="23" t="str">
        <f>IFERROR(VLOOKUP(C36,'Legenda &amp; Referensi'!$A$6:$D$40,2,0),"")</f>
        <v/>
      </c>
      <c r="E36" s="12"/>
      <c r="F36" s="12"/>
      <c r="G36" s="12"/>
      <c r="H36" s="12"/>
      <c r="I36" s="12"/>
      <c r="J36" s="12"/>
      <c r="K36" s="12"/>
    </row>
    <row r="37" ht="15.75" customHeight="1">
      <c r="A37" s="12"/>
      <c r="B37" s="12"/>
      <c r="C37" s="12"/>
      <c r="D37" s="23" t="str">
        <f>IFERROR(VLOOKUP(C37,'Legenda &amp; Referensi'!$A$6:$D$40,2,0),"")</f>
        <v/>
      </c>
      <c r="E37" s="12"/>
      <c r="F37" s="12"/>
      <c r="G37" s="12"/>
      <c r="H37" s="12"/>
      <c r="I37" s="12"/>
      <c r="J37" s="12"/>
      <c r="K37" s="12"/>
    </row>
    <row r="38" ht="15.75" customHeight="1">
      <c r="A38" s="12"/>
      <c r="B38" s="12"/>
      <c r="C38" s="12"/>
      <c r="D38" s="23" t="str">
        <f>IFERROR(VLOOKUP(C38,'Legenda &amp; Referensi'!$A$6:$D$40,2,0),"")</f>
        <v/>
      </c>
      <c r="E38" s="12"/>
      <c r="F38" s="12"/>
      <c r="G38" s="12"/>
      <c r="H38" s="12"/>
      <c r="I38" s="12"/>
      <c r="J38" s="12"/>
      <c r="K38" s="12"/>
    </row>
    <row r="39" ht="15.75" customHeight="1">
      <c r="A39" s="12"/>
      <c r="B39" s="12"/>
      <c r="C39" s="12"/>
      <c r="D39" s="23" t="str">
        <f>IFERROR(VLOOKUP(C39,'Legenda &amp; Referensi'!$A$6:$D$40,2,0),"")</f>
        <v/>
      </c>
      <c r="E39" s="12"/>
      <c r="F39" s="12"/>
      <c r="G39" s="12"/>
      <c r="H39" s="12"/>
      <c r="I39" s="12"/>
      <c r="J39" s="12"/>
      <c r="K39" s="12"/>
    </row>
    <row r="40" ht="15.75" customHeight="1">
      <c r="A40" s="12"/>
      <c r="B40" s="12"/>
      <c r="C40" s="12"/>
      <c r="D40" s="23" t="str">
        <f>IFERROR(VLOOKUP(C40,'Legenda &amp; Referensi'!$A$6:$D$40,2,0),"")</f>
        <v/>
      </c>
      <c r="E40" s="12"/>
      <c r="F40" s="12"/>
      <c r="G40" s="12"/>
      <c r="H40" s="12"/>
      <c r="I40" s="12"/>
      <c r="J40" s="12"/>
      <c r="K40" s="12"/>
    </row>
    <row r="41" ht="15.75" customHeight="1">
      <c r="A41" s="12"/>
      <c r="B41" s="12"/>
      <c r="C41" s="12"/>
      <c r="D41" s="23" t="str">
        <f>IFERROR(VLOOKUP(C41,'Legenda &amp; Referensi'!$A$6:$D$40,2,0),"")</f>
        <v/>
      </c>
      <c r="E41" s="12"/>
      <c r="F41" s="12"/>
      <c r="G41" s="12"/>
      <c r="H41" s="12"/>
      <c r="I41" s="12"/>
      <c r="J41" s="12"/>
      <c r="K41" s="12"/>
    </row>
    <row r="42" ht="15.75" customHeight="1">
      <c r="A42" s="12"/>
      <c r="B42" s="12"/>
      <c r="C42" s="12"/>
      <c r="D42" s="23" t="str">
        <f>IFERROR(VLOOKUP(C42,'Legenda &amp; Referensi'!$A$6:$D$40,2,0),"")</f>
        <v/>
      </c>
      <c r="E42" s="12"/>
      <c r="F42" s="12"/>
      <c r="G42" s="12"/>
      <c r="H42" s="12"/>
      <c r="I42" s="12"/>
      <c r="J42" s="12"/>
      <c r="K42" s="12"/>
    </row>
    <row r="43" ht="15.75" customHeight="1">
      <c r="A43" s="12"/>
      <c r="B43" s="12"/>
      <c r="C43" s="12"/>
      <c r="D43" s="23" t="str">
        <f>IFERROR(VLOOKUP(C43,'Legenda &amp; Referensi'!$A$6:$D$40,2,0),"")</f>
        <v/>
      </c>
      <c r="E43" s="12"/>
      <c r="F43" s="12"/>
      <c r="G43" s="12"/>
      <c r="H43" s="12"/>
      <c r="I43" s="12"/>
      <c r="J43" s="12"/>
      <c r="K43" s="12"/>
    </row>
    <row r="44" ht="15.75" customHeight="1">
      <c r="A44" s="12"/>
      <c r="B44" s="12"/>
      <c r="C44" s="12"/>
      <c r="D44" s="23" t="str">
        <f>IFERROR(VLOOKUP(C44,'Legenda &amp; Referensi'!$A$6:$D$40,2,0),"")</f>
        <v/>
      </c>
      <c r="E44" s="12"/>
      <c r="F44" s="12"/>
      <c r="G44" s="12"/>
      <c r="H44" s="12"/>
      <c r="I44" s="12"/>
      <c r="J44" s="12"/>
      <c r="K44" s="12"/>
    </row>
    <row r="45" ht="15.75" customHeight="1">
      <c r="A45" s="12"/>
      <c r="B45" s="12"/>
      <c r="C45" s="12"/>
      <c r="D45" s="23" t="str">
        <f>IFERROR(VLOOKUP(C45,'Legenda &amp; Referensi'!$A$6:$D$40,2,0),"")</f>
        <v/>
      </c>
      <c r="E45" s="12"/>
      <c r="F45" s="12"/>
      <c r="G45" s="12"/>
      <c r="H45" s="12"/>
      <c r="I45" s="12"/>
      <c r="J45" s="12"/>
      <c r="K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3:K3"/>
  </mergeCells>
  <dataValidations>
    <dataValidation type="list" allowBlank="1" sqref="C6:C45">
      <formula1>'Legenda &amp; Referensi'!$A$6:$A$40</formula1>
    </dataValidation>
    <dataValidation type="list" allowBlank="1" sqref="I6:I45">
      <formula1>'Legenda &amp; Referensi'!$A$97:$A$98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6.0"/>
    <col customWidth="1" min="2" max="2" width="12.0"/>
    <col customWidth="1" min="3" max="3" width="14.0"/>
    <col customWidth="1" min="4" max="4" width="26.0"/>
    <col customWidth="1" min="5" max="6" width="18.0"/>
    <col customWidth="1" min="7" max="7" width="10.0"/>
    <col customWidth="1" min="8" max="8" width="26.0"/>
    <col customWidth="1" min="9" max="9" width="18.0"/>
    <col customWidth="1" min="10" max="26" width="8.71"/>
  </cols>
  <sheetData>
    <row r="1">
      <c r="A1" s="1" t="s">
        <v>284</v>
      </c>
    </row>
    <row r="2">
      <c r="A2" s="3" t="s">
        <v>5</v>
      </c>
    </row>
    <row r="3">
      <c r="A3" s="5" t="s">
        <v>285</v>
      </c>
    </row>
    <row r="5">
      <c r="A5" s="6" t="s">
        <v>8</v>
      </c>
      <c r="B5" s="6" t="s">
        <v>10</v>
      </c>
      <c r="C5" s="6" t="s">
        <v>13</v>
      </c>
      <c r="D5" s="6" t="s">
        <v>15</v>
      </c>
      <c r="E5" s="6" t="s">
        <v>286</v>
      </c>
      <c r="F5" s="6" t="s">
        <v>287</v>
      </c>
      <c r="G5" s="6" t="s">
        <v>288</v>
      </c>
      <c r="H5" s="6" t="s">
        <v>289</v>
      </c>
      <c r="I5" s="6" t="s">
        <v>290</v>
      </c>
    </row>
    <row r="6">
      <c r="A6" s="12"/>
      <c r="B6" s="12"/>
      <c r="C6" s="12"/>
      <c r="D6" s="23" t="str">
        <f>IFERROR(VLOOKUP(C6,'Legenda &amp; Referensi'!$A$6:$D$40,2,0),"")</f>
        <v/>
      </c>
      <c r="E6" s="23">
        <f>IFERROR(VLOOKUP(C6,'Stock Akhir'!$A:$L,9,0),0)</f>
        <v>0</v>
      </c>
      <c r="F6" s="12"/>
      <c r="G6" s="23">
        <f t="shared" ref="G6:G45" si="1">F6-E6</f>
        <v>0</v>
      </c>
      <c r="H6" s="12"/>
      <c r="I6" s="12"/>
    </row>
    <row r="7">
      <c r="A7" s="12"/>
      <c r="B7" s="12"/>
      <c r="C7" s="12"/>
      <c r="D7" s="23" t="str">
        <f>IFERROR(VLOOKUP(C7,'Legenda &amp; Referensi'!$A$6:$D$40,2,0),"")</f>
        <v/>
      </c>
      <c r="E7" s="23">
        <f>IFERROR(VLOOKUP(C7,'Stock Akhir'!$A:$L,9,0),0)</f>
        <v>0</v>
      </c>
      <c r="F7" s="12"/>
      <c r="G7" s="23">
        <f t="shared" si="1"/>
        <v>0</v>
      </c>
      <c r="H7" s="12"/>
      <c r="I7" s="12"/>
    </row>
    <row r="8">
      <c r="A8" s="12"/>
      <c r="B8" s="12"/>
      <c r="C8" s="12"/>
      <c r="D8" s="23" t="str">
        <f>IFERROR(VLOOKUP(C8,'Legenda &amp; Referensi'!$A$6:$D$40,2,0),"")</f>
        <v/>
      </c>
      <c r="E8" s="23">
        <f>IFERROR(VLOOKUP(C8,'Stock Akhir'!$A:$L,9,0),0)</f>
        <v>0</v>
      </c>
      <c r="F8" s="12"/>
      <c r="G8" s="23">
        <f t="shared" si="1"/>
        <v>0</v>
      </c>
      <c r="H8" s="12"/>
      <c r="I8" s="12"/>
    </row>
    <row r="9">
      <c r="A9" s="12"/>
      <c r="B9" s="12"/>
      <c r="C9" s="12"/>
      <c r="D9" s="23" t="str">
        <f>IFERROR(VLOOKUP(C9,'Legenda &amp; Referensi'!$A$6:$D$40,2,0),"")</f>
        <v/>
      </c>
      <c r="E9" s="23">
        <f>IFERROR(VLOOKUP(C9,'Stock Akhir'!$A:$L,9,0),0)</f>
        <v>0</v>
      </c>
      <c r="F9" s="12"/>
      <c r="G9" s="23">
        <f t="shared" si="1"/>
        <v>0</v>
      </c>
      <c r="H9" s="12"/>
      <c r="I9" s="12"/>
    </row>
    <row r="10">
      <c r="A10" s="12"/>
      <c r="B10" s="12"/>
      <c r="C10" s="12"/>
      <c r="D10" s="23" t="str">
        <f>IFERROR(VLOOKUP(C10,'Legenda &amp; Referensi'!$A$6:$D$40,2,0),"")</f>
        <v/>
      </c>
      <c r="E10" s="23">
        <f>IFERROR(VLOOKUP(C10,'Stock Akhir'!$A:$L,9,0),0)</f>
        <v>0</v>
      </c>
      <c r="F10" s="12"/>
      <c r="G10" s="23">
        <f t="shared" si="1"/>
        <v>0</v>
      </c>
      <c r="H10" s="12"/>
      <c r="I10" s="12"/>
    </row>
    <row r="11">
      <c r="A11" s="12"/>
      <c r="B11" s="12"/>
      <c r="C11" s="12"/>
      <c r="D11" s="23" t="str">
        <f>IFERROR(VLOOKUP(C11,'Legenda &amp; Referensi'!$A$6:$D$40,2,0),"")</f>
        <v/>
      </c>
      <c r="E11" s="23">
        <f>IFERROR(VLOOKUP(C11,'Stock Akhir'!$A:$L,9,0),0)</f>
        <v>0</v>
      </c>
      <c r="F11" s="12"/>
      <c r="G11" s="23">
        <f t="shared" si="1"/>
        <v>0</v>
      </c>
      <c r="H11" s="12"/>
      <c r="I11" s="12"/>
    </row>
    <row r="12">
      <c r="A12" s="12"/>
      <c r="B12" s="12"/>
      <c r="C12" s="12"/>
      <c r="D12" s="23" t="str">
        <f>IFERROR(VLOOKUP(C12,'Legenda &amp; Referensi'!$A$6:$D$40,2,0),"")</f>
        <v/>
      </c>
      <c r="E12" s="23">
        <f>IFERROR(VLOOKUP(C12,'Stock Akhir'!$A:$L,9,0),0)</f>
        <v>0</v>
      </c>
      <c r="F12" s="12"/>
      <c r="G12" s="23">
        <f t="shared" si="1"/>
        <v>0</v>
      </c>
      <c r="H12" s="12"/>
      <c r="I12" s="12"/>
    </row>
    <row r="13">
      <c r="A13" s="12"/>
      <c r="B13" s="12"/>
      <c r="C13" s="12"/>
      <c r="D13" s="23" t="str">
        <f>IFERROR(VLOOKUP(C13,'Legenda &amp; Referensi'!$A$6:$D$40,2,0),"")</f>
        <v/>
      </c>
      <c r="E13" s="23">
        <f>IFERROR(VLOOKUP(C13,'Stock Akhir'!$A:$L,9,0),0)</f>
        <v>0</v>
      </c>
      <c r="F13" s="12"/>
      <c r="G13" s="23">
        <f t="shared" si="1"/>
        <v>0</v>
      </c>
      <c r="H13" s="12"/>
      <c r="I13" s="12"/>
    </row>
    <row r="14">
      <c r="A14" s="12"/>
      <c r="B14" s="12"/>
      <c r="C14" s="12"/>
      <c r="D14" s="23" t="str">
        <f>IFERROR(VLOOKUP(C14,'Legenda &amp; Referensi'!$A$6:$D$40,2,0),"")</f>
        <v/>
      </c>
      <c r="E14" s="23">
        <f>IFERROR(VLOOKUP(C14,'Stock Akhir'!$A:$L,9,0),0)</f>
        <v>0</v>
      </c>
      <c r="F14" s="12"/>
      <c r="G14" s="23">
        <f t="shared" si="1"/>
        <v>0</v>
      </c>
      <c r="H14" s="12"/>
      <c r="I14" s="12"/>
    </row>
    <row r="15">
      <c r="A15" s="12"/>
      <c r="B15" s="12"/>
      <c r="C15" s="12"/>
      <c r="D15" s="23" t="str">
        <f>IFERROR(VLOOKUP(C15,'Legenda &amp; Referensi'!$A$6:$D$40,2,0),"")</f>
        <v/>
      </c>
      <c r="E15" s="23">
        <f>IFERROR(VLOOKUP(C15,'Stock Akhir'!$A:$L,9,0),0)</f>
        <v>0</v>
      </c>
      <c r="F15" s="12"/>
      <c r="G15" s="23">
        <f t="shared" si="1"/>
        <v>0</v>
      </c>
      <c r="H15" s="12"/>
      <c r="I15" s="12"/>
    </row>
    <row r="16">
      <c r="A16" s="12"/>
      <c r="B16" s="12"/>
      <c r="C16" s="12"/>
      <c r="D16" s="23" t="str">
        <f>IFERROR(VLOOKUP(C16,'Legenda &amp; Referensi'!$A$6:$D$40,2,0),"")</f>
        <v/>
      </c>
      <c r="E16" s="23">
        <f>IFERROR(VLOOKUP(C16,'Stock Akhir'!$A:$L,9,0),0)</f>
        <v>0</v>
      </c>
      <c r="F16" s="12"/>
      <c r="G16" s="23">
        <f t="shared" si="1"/>
        <v>0</v>
      </c>
      <c r="H16" s="12"/>
      <c r="I16" s="12"/>
    </row>
    <row r="17">
      <c r="A17" s="12"/>
      <c r="B17" s="12"/>
      <c r="C17" s="12"/>
      <c r="D17" s="23" t="str">
        <f>IFERROR(VLOOKUP(C17,'Legenda &amp; Referensi'!$A$6:$D$40,2,0),"")</f>
        <v/>
      </c>
      <c r="E17" s="23">
        <f>IFERROR(VLOOKUP(C17,'Stock Akhir'!$A:$L,9,0),0)</f>
        <v>0</v>
      </c>
      <c r="F17" s="12"/>
      <c r="G17" s="23">
        <f t="shared" si="1"/>
        <v>0</v>
      </c>
      <c r="H17" s="12"/>
      <c r="I17" s="12"/>
    </row>
    <row r="18">
      <c r="A18" s="12"/>
      <c r="B18" s="12"/>
      <c r="C18" s="12"/>
      <c r="D18" s="23" t="str">
        <f>IFERROR(VLOOKUP(C18,'Legenda &amp; Referensi'!$A$6:$D$40,2,0),"")</f>
        <v/>
      </c>
      <c r="E18" s="23">
        <f>IFERROR(VLOOKUP(C18,'Stock Akhir'!$A:$L,9,0),0)</f>
        <v>0</v>
      </c>
      <c r="F18" s="12"/>
      <c r="G18" s="23">
        <f t="shared" si="1"/>
        <v>0</v>
      </c>
      <c r="H18" s="12"/>
      <c r="I18" s="12"/>
    </row>
    <row r="19">
      <c r="A19" s="12"/>
      <c r="B19" s="12"/>
      <c r="C19" s="12"/>
      <c r="D19" s="23" t="str">
        <f>IFERROR(VLOOKUP(C19,'Legenda &amp; Referensi'!$A$6:$D$40,2,0),"")</f>
        <v/>
      </c>
      <c r="E19" s="23">
        <f>IFERROR(VLOOKUP(C19,'Stock Akhir'!$A:$L,9,0),0)</f>
        <v>0</v>
      </c>
      <c r="F19" s="12"/>
      <c r="G19" s="23">
        <f t="shared" si="1"/>
        <v>0</v>
      </c>
      <c r="H19" s="12"/>
      <c r="I19" s="12"/>
    </row>
    <row r="20">
      <c r="A20" s="12"/>
      <c r="B20" s="12"/>
      <c r="C20" s="12"/>
      <c r="D20" s="23" t="str">
        <f>IFERROR(VLOOKUP(C20,'Legenda &amp; Referensi'!$A$6:$D$40,2,0),"")</f>
        <v/>
      </c>
      <c r="E20" s="23">
        <f>IFERROR(VLOOKUP(C20,'Stock Akhir'!$A:$L,9,0),0)</f>
        <v>0</v>
      </c>
      <c r="F20" s="12"/>
      <c r="G20" s="23">
        <f t="shared" si="1"/>
        <v>0</v>
      </c>
      <c r="H20" s="12"/>
      <c r="I20" s="12"/>
    </row>
    <row r="21" ht="15.75" customHeight="1">
      <c r="A21" s="12"/>
      <c r="B21" s="12"/>
      <c r="C21" s="12"/>
      <c r="D21" s="23" t="str">
        <f>IFERROR(VLOOKUP(C21,'Legenda &amp; Referensi'!$A$6:$D$40,2,0),"")</f>
        <v/>
      </c>
      <c r="E21" s="23">
        <f>IFERROR(VLOOKUP(C21,'Stock Akhir'!$A:$L,9,0),0)</f>
        <v>0</v>
      </c>
      <c r="F21" s="12"/>
      <c r="G21" s="23">
        <f t="shared" si="1"/>
        <v>0</v>
      </c>
      <c r="H21" s="12"/>
      <c r="I21" s="12"/>
    </row>
    <row r="22" ht="15.75" customHeight="1">
      <c r="A22" s="12"/>
      <c r="B22" s="12"/>
      <c r="C22" s="12"/>
      <c r="D22" s="23" t="str">
        <f>IFERROR(VLOOKUP(C22,'Legenda &amp; Referensi'!$A$6:$D$40,2,0),"")</f>
        <v/>
      </c>
      <c r="E22" s="23">
        <f>IFERROR(VLOOKUP(C22,'Stock Akhir'!$A:$L,9,0),0)</f>
        <v>0</v>
      </c>
      <c r="F22" s="12"/>
      <c r="G22" s="23">
        <f t="shared" si="1"/>
        <v>0</v>
      </c>
      <c r="H22" s="12"/>
      <c r="I22" s="12"/>
    </row>
    <row r="23" ht="15.75" customHeight="1">
      <c r="A23" s="12"/>
      <c r="B23" s="12"/>
      <c r="C23" s="12"/>
      <c r="D23" s="23" t="str">
        <f>IFERROR(VLOOKUP(C23,'Legenda &amp; Referensi'!$A$6:$D$40,2,0),"")</f>
        <v/>
      </c>
      <c r="E23" s="23">
        <f>IFERROR(VLOOKUP(C23,'Stock Akhir'!$A:$L,9,0),0)</f>
        <v>0</v>
      </c>
      <c r="F23" s="12"/>
      <c r="G23" s="23">
        <f t="shared" si="1"/>
        <v>0</v>
      </c>
      <c r="H23" s="12"/>
      <c r="I23" s="12"/>
    </row>
    <row r="24" ht="15.75" customHeight="1">
      <c r="A24" s="12"/>
      <c r="B24" s="12"/>
      <c r="C24" s="12"/>
      <c r="D24" s="23" t="str">
        <f>IFERROR(VLOOKUP(C24,'Legenda &amp; Referensi'!$A$6:$D$40,2,0),"")</f>
        <v/>
      </c>
      <c r="E24" s="23">
        <f>IFERROR(VLOOKUP(C24,'Stock Akhir'!$A:$L,9,0),0)</f>
        <v>0</v>
      </c>
      <c r="F24" s="12"/>
      <c r="G24" s="23">
        <f t="shared" si="1"/>
        <v>0</v>
      </c>
      <c r="H24" s="12"/>
      <c r="I24" s="12"/>
    </row>
    <row r="25" ht="15.75" customHeight="1">
      <c r="A25" s="12"/>
      <c r="B25" s="12"/>
      <c r="C25" s="12"/>
      <c r="D25" s="23" t="str">
        <f>IFERROR(VLOOKUP(C25,'Legenda &amp; Referensi'!$A$6:$D$40,2,0),"")</f>
        <v/>
      </c>
      <c r="E25" s="23">
        <f>IFERROR(VLOOKUP(C25,'Stock Akhir'!$A:$L,9,0),0)</f>
        <v>0</v>
      </c>
      <c r="F25" s="12"/>
      <c r="G25" s="23">
        <f t="shared" si="1"/>
        <v>0</v>
      </c>
      <c r="H25" s="12"/>
      <c r="I25" s="12"/>
    </row>
    <row r="26" ht="15.75" customHeight="1">
      <c r="A26" s="12"/>
      <c r="B26" s="12"/>
      <c r="C26" s="12"/>
      <c r="D26" s="23" t="str">
        <f>IFERROR(VLOOKUP(C26,'Legenda &amp; Referensi'!$A$6:$D$40,2,0),"")</f>
        <v/>
      </c>
      <c r="E26" s="23">
        <f>IFERROR(VLOOKUP(C26,'Stock Akhir'!$A:$L,9,0),0)</f>
        <v>0</v>
      </c>
      <c r="F26" s="12"/>
      <c r="G26" s="23">
        <f t="shared" si="1"/>
        <v>0</v>
      </c>
      <c r="H26" s="12"/>
      <c r="I26" s="12"/>
    </row>
    <row r="27" ht="15.75" customHeight="1">
      <c r="A27" s="12"/>
      <c r="B27" s="12"/>
      <c r="C27" s="12"/>
      <c r="D27" s="23" t="str">
        <f>IFERROR(VLOOKUP(C27,'Legenda &amp; Referensi'!$A$6:$D$40,2,0),"")</f>
        <v/>
      </c>
      <c r="E27" s="23">
        <f>IFERROR(VLOOKUP(C27,'Stock Akhir'!$A:$L,9,0),0)</f>
        <v>0</v>
      </c>
      <c r="F27" s="12"/>
      <c r="G27" s="23">
        <f t="shared" si="1"/>
        <v>0</v>
      </c>
      <c r="H27" s="12"/>
      <c r="I27" s="12"/>
    </row>
    <row r="28" ht="15.75" customHeight="1">
      <c r="A28" s="12"/>
      <c r="B28" s="12"/>
      <c r="C28" s="12"/>
      <c r="D28" s="23" t="str">
        <f>IFERROR(VLOOKUP(C28,'Legenda &amp; Referensi'!$A$6:$D$40,2,0),"")</f>
        <v/>
      </c>
      <c r="E28" s="23">
        <f>IFERROR(VLOOKUP(C28,'Stock Akhir'!$A:$L,9,0),0)</f>
        <v>0</v>
      </c>
      <c r="F28" s="12"/>
      <c r="G28" s="23">
        <f t="shared" si="1"/>
        <v>0</v>
      </c>
      <c r="H28" s="12"/>
      <c r="I28" s="12"/>
    </row>
    <row r="29" ht="15.75" customHeight="1">
      <c r="A29" s="12"/>
      <c r="B29" s="12"/>
      <c r="C29" s="12"/>
      <c r="D29" s="23" t="str">
        <f>IFERROR(VLOOKUP(C29,'Legenda &amp; Referensi'!$A$6:$D$40,2,0),"")</f>
        <v/>
      </c>
      <c r="E29" s="23">
        <f>IFERROR(VLOOKUP(C29,'Stock Akhir'!$A:$L,9,0),0)</f>
        <v>0</v>
      </c>
      <c r="F29" s="12"/>
      <c r="G29" s="23">
        <f t="shared" si="1"/>
        <v>0</v>
      </c>
      <c r="H29" s="12"/>
      <c r="I29" s="12"/>
    </row>
    <row r="30" ht="15.75" customHeight="1">
      <c r="A30" s="12"/>
      <c r="B30" s="12"/>
      <c r="C30" s="12"/>
      <c r="D30" s="23" t="str">
        <f>IFERROR(VLOOKUP(C30,'Legenda &amp; Referensi'!$A$6:$D$40,2,0),"")</f>
        <v/>
      </c>
      <c r="E30" s="23">
        <f>IFERROR(VLOOKUP(C30,'Stock Akhir'!$A:$L,9,0),0)</f>
        <v>0</v>
      </c>
      <c r="F30" s="12"/>
      <c r="G30" s="23">
        <f t="shared" si="1"/>
        <v>0</v>
      </c>
      <c r="H30" s="12"/>
      <c r="I30" s="12"/>
    </row>
    <row r="31" ht="15.75" customHeight="1">
      <c r="A31" s="12"/>
      <c r="B31" s="12"/>
      <c r="C31" s="12"/>
      <c r="D31" s="23" t="str">
        <f>IFERROR(VLOOKUP(C31,'Legenda &amp; Referensi'!$A$6:$D$40,2,0),"")</f>
        <v/>
      </c>
      <c r="E31" s="23">
        <f>IFERROR(VLOOKUP(C31,'Stock Akhir'!$A:$L,9,0),0)</f>
        <v>0</v>
      </c>
      <c r="F31" s="12"/>
      <c r="G31" s="23">
        <f t="shared" si="1"/>
        <v>0</v>
      </c>
      <c r="H31" s="12"/>
      <c r="I31" s="12"/>
    </row>
    <row r="32" ht="15.75" customHeight="1">
      <c r="A32" s="12"/>
      <c r="B32" s="12"/>
      <c r="C32" s="12"/>
      <c r="D32" s="23" t="str">
        <f>IFERROR(VLOOKUP(C32,'Legenda &amp; Referensi'!$A$6:$D$40,2,0),"")</f>
        <v/>
      </c>
      <c r="E32" s="23">
        <f>IFERROR(VLOOKUP(C32,'Stock Akhir'!$A:$L,9,0),0)</f>
        <v>0</v>
      </c>
      <c r="F32" s="12"/>
      <c r="G32" s="23">
        <f t="shared" si="1"/>
        <v>0</v>
      </c>
      <c r="H32" s="12"/>
      <c r="I32" s="12"/>
    </row>
    <row r="33" ht="15.75" customHeight="1">
      <c r="A33" s="12"/>
      <c r="B33" s="12"/>
      <c r="C33" s="12"/>
      <c r="D33" s="23" t="str">
        <f>IFERROR(VLOOKUP(C33,'Legenda &amp; Referensi'!$A$6:$D$40,2,0),"")</f>
        <v/>
      </c>
      <c r="E33" s="23">
        <f>IFERROR(VLOOKUP(C33,'Stock Akhir'!$A:$L,9,0),0)</f>
        <v>0</v>
      </c>
      <c r="F33" s="12"/>
      <c r="G33" s="23">
        <f t="shared" si="1"/>
        <v>0</v>
      </c>
      <c r="H33" s="12"/>
      <c r="I33" s="12"/>
    </row>
    <row r="34" ht="15.75" customHeight="1">
      <c r="A34" s="12"/>
      <c r="B34" s="12"/>
      <c r="C34" s="12"/>
      <c r="D34" s="23" t="str">
        <f>IFERROR(VLOOKUP(C34,'Legenda &amp; Referensi'!$A$6:$D$40,2,0),"")</f>
        <v/>
      </c>
      <c r="E34" s="23">
        <f>IFERROR(VLOOKUP(C34,'Stock Akhir'!$A:$L,9,0),0)</f>
        <v>0</v>
      </c>
      <c r="F34" s="12"/>
      <c r="G34" s="23">
        <f t="shared" si="1"/>
        <v>0</v>
      </c>
      <c r="H34" s="12"/>
      <c r="I34" s="12"/>
    </row>
    <row r="35" ht="15.75" customHeight="1">
      <c r="A35" s="12"/>
      <c r="B35" s="12"/>
      <c r="C35" s="12"/>
      <c r="D35" s="23" t="str">
        <f>IFERROR(VLOOKUP(C35,'Legenda &amp; Referensi'!$A$6:$D$40,2,0),"")</f>
        <v/>
      </c>
      <c r="E35" s="23">
        <f>IFERROR(VLOOKUP(C35,'Stock Akhir'!$A:$L,9,0),0)</f>
        <v>0</v>
      </c>
      <c r="F35" s="12"/>
      <c r="G35" s="23">
        <f t="shared" si="1"/>
        <v>0</v>
      </c>
      <c r="H35" s="12"/>
      <c r="I35" s="12"/>
    </row>
    <row r="36" ht="15.75" customHeight="1">
      <c r="A36" s="12"/>
      <c r="B36" s="12"/>
      <c r="C36" s="12"/>
      <c r="D36" s="23" t="str">
        <f>IFERROR(VLOOKUP(C36,'Legenda &amp; Referensi'!$A$6:$D$40,2,0),"")</f>
        <v/>
      </c>
      <c r="E36" s="23">
        <f>IFERROR(VLOOKUP(C36,'Stock Akhir'!$A:$L,9,0),0)</f>
        <v>0</v>
      </c>
      <c r="F36" s="12"/>
      <c r="G36" s="23">
        <f t="shared" si="1"/>
        <v>0</v>
      </c>
      <c r="H36" s="12"/>
      <c r="I36" s="12"/>
    </row>
    <row r="37" ht="15.75" customHeight="1">
      <c r="A37" s="12"/>
      <c r="B37" s="12"/>
      <c r="C37" s="12"/>
      <c r="D37" s="23" t="str">
        <f>IFERROR(VLOOKUP(C37,'Legenda &amp; Referensi'!$A$6:$D$40,2,0),"")</f>
        <v/>
      </c>
      <c r="E37" s="23">
        <f>IFERROR(VLOOKUP(C37,'Stock Akhir'!$A:$L,9,0),0)</f>
        <v>0</v>
      </c>
      <c r="F37" s="12"/>
      <c r="G37" s="23">
        <f t="shared" si="1"/>
        <v>0</v>
      </c>
      <c r="H37" s="12"/>
      <c r="I37" s="12"/>
    </row>
    <row r="38" ht="15.75" customHeight="1">
      <c r="A38" s="12"/>
      <c r="B38" s="12"/>
      <c r="C38" s="12"/>
      <c r="D38" s="23" t="str">
        <f>IFERROR(VLOOKUP(C38,'Legenda &amp; Referensi'!$A$6:$D$40,2,0),"")</f>
        <v/>
      </c>
      <c r="E38" s="23">
        <f>IFERROR(VLOOKUP(C38,'Stock Akhir'!$A:$L,9,0),0)</f>
        <v>0</v>
      </c>
      <c r="F38" s="12"/>
      <c r="G38" s="23">
        <f t="shared" si="1"/>
        <v>0</v>
      </c>
      <c r="H38" s="12"/>
      <c r="I38" s="12"/>
    </row>
    <row r="39" ht="15.75" customHeight="1">
      <c r="A39" s="12"/>
      <c r="B39" s="12"/>
      <c r="C39" s="12"/>
      <c r="D39" s="23" t="str">
        <f>IFERROR(VLOOKUP(C39,'Legenda &amp; Referensi'!$A$6:$D$40,2,0),"")</f>
        <v/>
      </c>
      <c r="E39" s="23">
        <f>IFERROR(VLOOKUP(C39,'Stock Akhir'!$A:$L,9,0),0)</f>
        <v>0</v>
      </c>
      <c r="F39" s="12"/>
      <c r="G39" s="23">
        <f t="shared" si="1"/>
        <v>0</v>
      </c>
      <c r="H39" s="12"/>
      <c r="I39" s="12"/>
    </row>
    <row r="40" ht="15.75" customHeight="1">
      <c r="A40" s="12"/>
      <c r="B40" s="12"/>
      <c r="C40" s="12"/>
      <c r="D40" s="23" t="str">
        <f>IFERROR(VLOOKUP(C40,'Legenda &amp; Referensi'!$A$6:$D$40,2,0),"")</f>
        <v/>
      </c>
      <c r="E40" s="23">
        <f>IFERROR(VLOOKUP(C40,'Stock Akhir'!$A:$L,9,0),0)</f>
        <v>0</v>
      </c>
      <c r="F40" s="12"/>
      <c r="G40" s="23">
        <f t="shared" si="1"/>
        <v>0</v>
      </c>
      <c r="H40" s="12"/>
      <c r="I40" s="12"/>
    </row>
    <row r="41" ht="15.75" customHeight="1">
      <c r="A41" s="12"/>
      <c r="B41" s="12"/>
      <c r="C41" s="12"/>
      <c r="D41" s="23" t="str">
        <f>IFERROR(VLOOKUP(C41,'Legenda &amp; Referensi'!$A$6:$D$40,2,0),"")</f>
        <v/>
      </c>
      <c r="E41" s="23">
        <f>IFERROR(VLOOKUP(C41,'Stock Akhir'!$A:$L,9,0),0)</f>
        <v>0</v>
      </c>
      <c r="F41" s="12"/>
      <c r="G41" s="23">
        <f t="shared" si="1"/>
        <v>0</v>
      </c>
      <c r="H41" s="12"/>
      <c r="I41" s="12"/>
    </row>
    <row r="42" ht="15.75" customHeight="1">
      <c r="A42" s="12"/>
      <c r="B42" s="12"/>
      <c r="C42" s="12"/>
      <c r="D42" s="23" t="str">
        <f>IFERROR(VLOOKUP(C42,'Legenda &amp; Referensi'!$A$6:$D$40,2,0),"")</f>
        <v/>
      </c>
      <c r="E42" s="23">
        <f>IFERROR(VLOOKUP(C42,'Stock Akhir'!$A:$L,9,0),0)</f>
        <v>0</v>
      </c>
      <c r="F42" s="12"/>
      <c r="G42" s="23">
        <f t="shared" si="1"/>
        <v>0</v>
      </c>
      <c r="H42" s="12"/>
      <c r="I42" s="12"/>
    </row>
    <row r="43" ht="15.75" customHeight="1">
      <c r="A43" s="12"/>
      <c r="B43" s="12"/>
      <c r="C43" s="12"/>
      <c r="D43" s="23" t="str">
        <f>IFERROR(VLOOKUP(C43,'Legenda &amp; Referensi'!$A$6:$D$40,2,0),"")</f>
        <v/>
      </c>
      <c r="E43" s="23">
        <f>IFERROR(VLOOKUP(C43,'Stock Akhir'!$A:$L,9,0),0)</f>
        <v>0</v>
      </c>
      <c r="F43" s="12"/>
      <c r="G43" s="23">
        <f t="shared" si="1"/>
        <v>0</v>
      </c>
      <c r="H43" s="12"/>
      <c r="I43" s="12"/>
    </row>
    <row r="44" ht="15.75" customHeight="1">
      <c r="A44" s="12"/>
      <c r="B44" s="12"/>
      <c r="C44" s="12"/>
      <c r="D44" s="23" t="str">
        <f>IFERROR(VLOOKUP(C44,'Legenda &amp; Referensi'!$A$6:$D$40,2,0),"")</f>
        <v/>
      </c>
      <c r="E44" s="23">
        <f>IFERROR(VLOOKUP(C44,'Stock Akhir'!$A:$L,9,0),0)</f>
        <v>0</v>
      </c>
      <c r="F44" s="12"/>
      <c r="G44" s="23">
        <f t="shared" si="1"/>
        <v>0</v>
      </c>
      <c r="H44" s="12"/>
      <c r="I44" s="12"/>
    </row>
    <row r="45" ht="15.75" customHeight="1">
      <c r="A45" s="12"/>
      <c r="B45" s="12"/>
      <c r="C45" s="12"/>
      <c r="D45" s="23" t="str">
        <f>IFERROR(VLOOKUP(C45,'Legenda &amp; Referensi'!$A$6:$D$40,2,0),"")</f>
        <v/>
      </c>
      <c r="E45" s="23">
        <f>IFERROR(VLOOKUP(C45,'Stock Akhir'!$A:$L,9,0),0)</f>
        <v>0</v>
      </c>
      <c r="F45" s="12"/>
      <c r="G45" s="23">
        <f t="shared" si="1"/>
        <v>0</v>
      </c>
      <c r="H45" s="12"/>
      <c r="I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I3"/>
  </mergeCells>
  <dataValidations>
    <dataValidation type="list" allowBlank="1" sqref="C6:C45">
      <formula1>'Legenda &amp; Referensi'!$A$6:$A$40</formula1>
    </dataValidation>
  </dataValidations>
  <printOptions/>
  <pageMargins bottom="1.0" footer="0.0" header="0.0" left="0.75" right="0.75" top="1.0"/>
  <pageSetup orientation="landscape"/>
  <drawing r:id="rId1"/>
</worksheet>
</file>